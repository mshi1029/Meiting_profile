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eitingshi/Downloads/"/>
    </mc:Choice>
  </mc:AlternateContent>
  <xr:revisionPtr revIDLastSave="0" documentId="8_{4BD32AFB-EFE7-624C-B14F-B803500FE402}" xr6:coauthVersionLast="47" xr6:coauthVersionMax="47" xr10:uidLastSave="{00000000-0000-0000-0000-000000000000}"/>
  <bookViews>
    <workbookView xWindow="-40" yWindow="9760" windowWidth="22900" windowHeight="15740" tabRatio="500" activeTab="2" xr2:uid="{00000000-000D-0000-FFFF-FFFF00000000}"/>
  </bookViews>
  <sheets>
    <sheet name="Transaction Hedging (Receivable" sheetId="1" r:id="rId1"/>
    <sheet name="Transaction Hedging (Payables)" sheetId="2" r:id="rId2"/>
    <sheet name="Notes &amp; Assumptions" sheetId="3" r:id="rId3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0_in">'Transaction Hedging (Receivable'!$F$12</definedName>
    <definedName name="FC_AMT">'Transaction Hedging (Receivable'!$F$6</definedName>
    <definedName name="for_GBPUSD">'Transaction Hedging (Receivable'!$F$12</definedName>
    <definedName name="forward_price_payable">'Transaction Hedging (Payables)'!$F$12</definedName>
    <definedName name="future_spot_price_payable">'Transaction Hedging (Payables)'!$C$35:$C$47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K_CALL">'Transaction Hedging (Payables)'!$F$14</definedName>
    <definedName name="K_PUT">'Transaction Hedging (Receivable'!$F$14</definedName>
    <definedName name="named_range">'Transaction Hedging (Payables)'!$G$15</definedName>
    <definedName name="PREM_CALL">'Transaction Hedging (Payables)'!$F$15</definedName>
    <definedName name="PREM_PUT">'Transaction Hedging (Receivable'!$F$15</definedName>
    <definedName name="put_price">'Transaction Hedging (Receivable'!$F$15</definedName>
    <definedName name="R_FC">'Transaction Hedging (Receivable'!$F$10</definedName>
    <definedName name="R_USD">'Transaction Hedging (Receivable'!$F$9</definedName>
    <definedName name="rate_uk_1y_payable">'Transaction Hedging (Payables)'!$F$10</definedName>
    <definedName name="rate_us_1y_payable">'Transaction Hedging (Payables)'!$F$9</definedName>
    <definedName name="recievable">'Transaction Hedging (Receivable'!$F$6</definedName>
    <definedName name="S0_in">'Transaction Hedging (Receivable'!$F$7</definedName>
    <definedName name="T_DAYS">'Transaction Hedging (Receivable'!$F$16</definedName>
    <definedName name="x_put">'Transaction Hedging (Receivable'!$F$14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5" i="1" l="1"/>
  <c r="D45" i="1" s="1"/>
  <c r="D44" i="1"/>
  <c r="C44" i="1"/>
  <c r="H44" i="1" s="1"/>
  <c r="E43" i="1"/>
  <c r="D43" i="1"/>
  <c r="C43" i="1"/>
  <c r="H43" i="1" s="1"/>
  <c r="H42" i="1"/>
  <c r="C42" i="1"/>
  <c r="D42" i="1" s="1"/>
  <c r="C41" i="1"/>
  <c r="D41" i="1" s="1"/>
  <c r="D40" i="1"/>
  <c r="C40" i="1"/>
  <c r="H40" i="1" s="1"/>
  <c r="E39" i="1"/>
  <c r="D39" i="1"/>
  <c r="C39" i="1"/>
  <c r="H39" i="1" s="1"/>
  <c r="H38" i="1"/>
  <c r="C38" i="1"/>
  <c r="D38" i="1" s="1"/>
  <c r="C37" i="1"/>
  <c r="D37" i="1" s="1"/>
  <c r="C36" i="1"/>
  <c r="H36" i="1" s="1"/>
  <c r="E35" i="1"/>
  <c r="D35" i="1"/>
  <c r="C35" i="1"/>
  <c r="H35" i="1" s="1"/>
  <c r="H34" i="1"/>
  <c r="C34" i="1"/>
  <c r="D34" i="1" s="1"/>
  <c r="C33" i="1"/>
  <c r="D33" i="1" s="1"/>
  <c r="E33" i="1" s="1"/>
  <c r="F28" i="1"/>
  <c r="J43" i="1" s="1"/>
  <c r="G43" i="1" s="1"/>
  <c r="G27" i="1"/>
  <c r="F27" i="1"/>
  <c r="F21" i="1"/>
  <c r="F22" i="1" s="1"/>
  <c r="F23" i="1" s="1"/>
  <c r="F24" i="1" s="1"/>
  <c r="F18" i="1"/>
  <c r="D50" i="1" s="1"/>
  <c r="H47" i="2"/>
  <c r="E47" i="2"/>
  <c r="D47" i="2"/>
  <c r="C47" i="2"/>
  <c r="H46" i="2"/>
  <c r="C46" i="2"/>
  <c r="D46" i="2" s="1"/>
  <c r="D45" i="2"/>
  <c r="C45" i="2"/>
  <c r="H45" i="2" s="1"/>
  <c r="D44" i="2"/>
  <c r="C44" i="2"/>
  <c r="H44" i="2" s="1"/>
  <c r="H43" i="2"/>
  <c r="E43" i="2"/>
  <c r="D43" i="2"/>
  <c r="C43" i="2"/>
  <c r="H42" i="2"/>
  <c r="C42" i="2"/>
  <c r="D42" i="2" s="1"/>
  <c r="D41" i="2"/>
  <c r="C41" i="2"/>
  <c r="H41" i="2" s="1"/>
  <c r="D40" i="2"/>
  <c r="C40" i="2"/>
  <c r="H40" i="2" s="1"/>
  <c r="H39" i="2"/>
  <c r="E39" i="2"/>
  <c r="D39" i="2"/>
  <c r="C39" i="2"/>
  <c r="H38" i="2"/>
  <c r="C38" i="2"/>
  <c r="D38" i="2" s="1"/>
  <c r="D37" i="2"/>
  <c r="C37" i="2"/>
  <c r="H37" i="2" s="1"/>
  <c r="D36" i="2"/>
  <c r="C36" i="2"/>
  <c r="H36" i="2" s="1"/>
  <c r="H35" i="2"/>
  <c r="E35" i="2"/>
  <c r="D35" i="2"/>
  <c r="C35" i="2"/>
  <c r="F29" i="2"/>
  <c r="F30" i="2" s="1"/>
  <c r="F21" i="2"/>
  <c r="F22" i="2" s="1"/>
  <c r="F18" i="2"/>
  <c r="D51" i="2" s="1"/>
  <c r="F14" i="2"/>
  <c r="J42" i="2" l="1"/>
  <c r="J38" i="2"/>
  <c r="J44" i="2"/>
  <c r="J40" i="2"/>
  <c r="J36" i="2"/>
  <c r="G36" i="2" s="1"/>
  <c r="J43" i="2"/>
  <c r="G43" i="2" s="1"/>
  <c r="J39" i="2"/>
  <c r="G39" i="2" s="1"/>
  <c r="J35" i="2"/>
  <c r="G35" i="2" s="1"/>
  <c r="J47" i="2"/>
  <c r="G47" i="2" s="1"/>
  <c r="J46" i="2"/>
  <c r="J45" i="2"/>
  <c r="J41" i="2"/>
  <c r="G41" i="2" s="1"/>
  <c r="J37" i="2"/>
  <c r="G37" i="2"/>
  <c r="G45" i="2"/>
  <c r="G40" i="2"/>
  <c r="E38" i="1"/>
  <c r="E42" i="1"/>
  <c r="G38" i="2"/>
  <c r="E38" i="2"/>
  <c r="E34" i="1"/>
  <c r="G44" i="2"/>
  <c r="G42" i="2"/>
  <c r="E42" i="2"/>
  <c r="I44" i="1"/>
  <c r="I40" i="1"/>
  <c r="D51" i="1"/>
  <c r="F45" i="1"/>
  <c r="F41" i="1"/>
  <c r="F37" i="1"/>
  <c r="F33" i="1"/>
  <c r="L33" i="1" s="1"/>
  <c r="I43" i="1"/>
  <c r="I39" i="1"/>
  <c r="I35" i="1"/>
  <c r="F44" i="1"/>
  <c r="F40" i="1"/>
  <c r="F36" i="1"/>
  <c r="I42" i="1"/>
  <c r="I38" i="1"/>
  <c r="I34" i="1"/>
  <c r="F43" i="1"/>
  <c r="F39" i="1"/>
  <c r="F35" i="1"/>
  <c r="K35" i="1" s="1"/>
  <c r="I45" i="1"/>
  <c r="I41" i="1"/>
  <c r="I37" i="1"/>
  <c r="I33" i="1"/>
  <c r="F42" i="1"/>
  <c r="F38" i="1"/>
  <c r="F34" i="1"/>
  <c r="K43" i="1"/>
  <c r="G46" i="2"/>
  <c r="E46" i="2"/>
  <c r="F25" i="2"/>
  <c r="F23" i="2"/>
  <c r="F24" i="2" s="1"/>
  <c r="G37" i="1"/>
  <c r="E37" i="1"/>
  <c r="E41" i="1"/>
  <c r="E45" i="1"/>
  <c r="H33" i="1"/>
  <c r="L35" i="1"/>
  <c r="J36" i="1"/>
  <c r="H37" i="1"/>
  <c r="J40" i="1"/>
  <c r="G40" i="1" s="1"/>
  <c r="H41" i="1"/>
  <c r="L43" i="1"/>
  <c r="J44" i="1"/>
  <c r="G44" i="1" s="1"/>
  <c r="H45" i="1"/>
  <c r="E36" i="2"/>
  <c r="E40" i="2"/>
  <c r="E44" i="2"/>
  <c r="J33" i="1"/>
  <c r="G33" i="1" s="1"/>
  <c r="D36" i="1"/>
  <c r="J37" i="1"/>
  <c r="J41" i="1"/>
  <c r="G41" i="1" s="1"/>
  <c r="J45" i="1"/>
  <c r="G45" i="1" s="1"/>
  <c r="E41" i="2"/>
  <c r="E40" i="1"/>
  <c r="E44" i="1"/>
  <c r="E37" i="2"/>
  <c r="E45" i="2"/>
  <c r="J34" i="1"/>
  <c r="G34" i="1" s="1"/>
  <c r="J38" i="1"/>
  <c r="G38" i="1" s="1"/>
  <c r="J42" i="1"/>
  <c r="G42" i="1" s="1"/>
  <c r="J35" i="1"/>
  <c r="G35" i="1" s="1"/>
  <c r="J39" i="1"/>
  <c r="G39" i="1" s="1"/>
  <c r="L39" i="1" s="1"/>
  <c r="F31" i="2" l="1"/>
  <c r="D53" i="2" s="1"/>
  <c r="L45" i="1"/>
  <c r="K45" i="1"/>
  <c r="F26" i="2"/>
  <c r="D52" i="2"/>
  <c r="K39" i="1"/>
  <c r="L42" i="1"/>
  <c r="K42" i="1"/>
  <c r="G36" i="1"/>
  <c r="E36" i="1"/>
  <c r="F29" i="1"/>
  <c r="D52" i="1" s="1"/>
  <c r="L41" i="1"/>
  <c r="K41" i="1"/>
  <c r="I36" i="1"/>
  <c r="L38" i="1"/>
  <c r="K38" i="1"/>
  <c r="L44" i="1"/>
  <c r="K44" i="1"/>
  <c r="L34" i="1"/>
  <c r="K34" i="1"/>
  <c r="K33" i="1"/>
  <c r="L40" i="1"/>
  <c r="K40" i="1"/>
  <c r="L37" i="1"/>
  <c r="K37" i="1"/>
  <c r="L36" i="1" l="1"/>
  <c r="K36" i="1"/>
  <c r="I45" i="2"/>
  <c r="I41" i="2"/>
  <c r="I37" i="2"/>
  <c r="F46" i="2"/>
  <c r="F42" i="2"/>
  <c r="F38" i="2"/>
  <c r="I44" i="2"/>
  <c r="I40" i="2"/>
  <c r="I36" i="2"/>
  <c r="F45" i="2"/>
  <c r="F41" i="2"/>
  <c r="F37" i="2"/>
  <c r="I39" i="2"/>
  <c r="F44" i="2"/>
  <c r="F40" i="2"/>
  <c r="I47" i="2"/>
  <c r="I43" i="2"/>
  <c r="I35" i="2"/>
  <c r="F36" i="2"/>
  <c r="F35" i="2"/>
  <c r="I46" i="2"/>
  <c r="I42" i="2"/>
  <c r="I38" i="2"/>
  <c r="F47" i="2"/>
  <c r="F43" i="2"/>
  <c r="F39" i="2"/>
  <c r="K39" i="2" l="1"/>
  <c r="L39" i="2"/>
  <c r="K45" i="2"/>
  <c r="L45" i="2"/>
  <c r="K43" i="2"/>
  <c r="L43" i="2"/>
  <c r="L47" i="2"/>
  <c r="K47" i="2"/>
  <c r="L40" i="2"/>
  <c r="K40" i="2"/>
  <c r="K44" i="2"/>
  <c r="L44" i="2"/>
  <c r="L38" i="2"/>
  <c r="K38" i="2"/>
  <c r="L42" i="2"/>
  <c r="K42" i="2"/>
  <c r="L35" i="2"/>
  <c r="K35" i="2"/>
  <c r="L37" i="2"/>
  <c r="K37" i="2"/>
  <c r="L46" i="2"/>
  <c r="K46" i="2"/>
  <c r="K36" i="2"/>
  <c r="L36" i="2"/>
  <c r="L41" i="2"/>
  <c r="K41" i="2"/>
</calcChain>
</file>

<file path=xl/sharedStrings.xml><?xml version="1.0" encoding="utf-8"?>
<sst xmlns="http://schemas.openxmlformats.org/spreadsheetml/2006/main" count="196" uniqueCount="140">
  <si>
    <t>Hedging Foreign Currency Receivables</t>
  </si>
  <si>
    <t xml:space="preserve">Suppose a U.S. pharmaceutical firm exported a product to a European client and billed €8,000,000 receivable in one year.
</t>
  </si>
  <si>
    <t>Given</t>
  </si>
  <si>
    <t xml:space="preserve">Variables </t>
  </si>
  <si>
    <t>Key</t>
  </si>
  <si>
    <t>1-Year Receivable</t>
  </si>
  <si>
    <t>Editable</t>
  </si>
  <si>
    <t>Current EUR/USD Spot Exchange Rate</t>
  </si>
  <si>
    <t>Outcome</t>
  </si>
  <si>
    <t>Money Market</t>
  </si>
  <si>
    <t>Formulas</t>
  </si>
  <si>
    <t>U.S. 1-Year Interest Rate (domestic)</t>
  </si>
  <si>
    <t>EUR 1-Year Interest Rate (foreign)</t>
  </si>
  <si>
    <t>Forwards</t>
  </si>
  <si>
    <t>EUR/USD 1-Year Forward Exchange Rate</t>
  </si>
  <si>
    <t>Options</t>
  </si>
  <si>
    <t>EUR/USD Put Strike Price</t>
  </si>
  <si>
    <t>EUR/USD Put Price</t>
  </si>
  <si>
    <t>Time Horizon (Days)</t>
  </si>
  <si>
    <t>1. Forward Hedge</t>
  </si>
  <si>
    <t>[a] Sell EUR/USD 1-Year Forward</t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</si>
  <si>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</si>
  <si>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</si>
  <si>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</si>
  <si>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</si>
  <si>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</si>
  <si>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</si>
  <si>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t>[a] Buy puts</t>
  </si>
  <si>
    <t>[b] Determine 1-year future value equivalent of [a]</t>
  </si>
  <si>
    <t>&lt;-- FLOOR: variable amount depends on where EUR/USD spot ends up in 1 year</t>
  </si>
  <si>
    <t>EUR/USD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</si>
  <si>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</si>
  <si>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</si>
  <si>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</si>
  <si>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</si>
  <si>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</si>
  <si>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</si>
  <si>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</si>
  <si>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 (S_T)</t>
  </si>
  <si>
    <t>← -5% vs S₀ (EUR depreciates)</t>
  </si>
  <si>
    <t>← S₀ spot baseline</t>
  </si>
  <si>
    <t>← +7% vs S₀ (EUR appreciates)</t>
  </si>
  <si>
    <t>SUMMARY OUTPUT</t>
  </si>
  <si>
    <t>Hedge Strategy</t>
  </si>
  <si>
    <t>USD Proceeds (Locked-In)</t>
  </si>
  <si>
    <t>Notes</t>
  </si>
  <si>
    <t>Locked in; no upside participation</t>
  </si>
  <si>
    <t>Near-parity with forward hedge</t>
  </si>
  <si>
    <t>3. Option Hedge (Put)</t>
  </si>
  <si>
    <t>Floor via put; retains EUR upside</t>
  </si>
  <si>
    <t>Recommendation</t>
  </si>
  <si>
    <t>TBD – Stage 4</t>
  </si>
  <si>
    <t>Pending Stage 4 executive analysis</t>
  </si>
  <si>
    <t>Hedging Foreign Currency Payables</t>
  </si>
  <si>
    <t xml:space="preserve">Suppose a U.S. pharmaceutical firm imported a product from a European supplier for €8,000,000 payable in one year.
</t>
  </si>
  <si>
    <t>EUR/USD Call Strike Price</t>
  </si>
  <si>
    <t>EUR/USD Call Price</t>
  </si>
  <si>
    <t>[a] Buy EUR/USD 1-Year Forward</t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</si>
  <si>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</si>
  <si>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</si>
  <si>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</si>
  <si>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</si>
  <si>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</si>
  <si>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t>[a] Buy call</t>
  </si>
  <si>
    <t>&lt;-- HIGHEST: variable amount depends on where EUR/USD spot ends up in 1 year</t>
  </si>
  <si>
    <t>In one year, we pay</t>
  </si>
  <si>
    <t>USD Cost (Locked-In)</t>
  </si>
  <si>
    <t>Locked cost; no benefit if EUR falls</t>
  </si>
  <si>
    <t>3. Option Hedge (Call)</t>
  </si>
  <si>
    <t>Cap via call; benefit if EUR falls</t>
  </si>
  <si>
    <t>Notes &amp; Assumptions — FIN 321 Stage 2 FX Hedge Model</t>
  </si>
  <si>
    <t>Scenario 2 – U.S. Pharmaceutical Exporter  |  €8,000,000 Receivable  |  1-Year Horizon</t>
  </si>
  <si>
    <t>#</t>
  </si>
  <si>
    <t>Assumption / Item</t>
  </si>
  <si>
    <t>Details &amp; Rationale</t>
  </si>
  <si>
    <t xml:space="preserve">  INPUTS</t>
  </si>
  <si>
    <t>1</t>
  </si>
  <si>
    <t>Business Scenario</t>
  </si>
  <si>
    <t>U.S. pharmaceutical firm exported product to European client; billed €8,000,000 receivable due in 1 year. Goal: protect USD proceeds from EUR/USD exchange rate moves.</t>
  </si>
  <si>
    <t>2</t>
  </si>
  <si>
    <t>Spot Rate  (S₀)</t>
  </si>
  <si>
    <t>EUR/USD = 1.1608. Current mid-market rate at time of invoicing. Used as baseline for option strikes and sensitivity analysis.</t>
  </si>
  <si>
    <t>3</t>
  </si>
  <si>
    <t>Forward Rate  (F₀)</t>
  </si>
  <si>
    <t>EUR/USD 1-year forward = 1.0890. Provided by counterparty bank. Reflects interest rate differential (CIP). Lower than spot because USD rates &gt; EUR rates.</t>
  </si>
  <si>
    <t>4</t>
  </si>
  <si>
    <t>USD Interest Rate (R_USD)</t>
  </si>
  <si>
    <t>3.69% — 1-Year U.S. Treasury yield as of April 16, 2026 (Source: F/m Investments / U.S. Treasury). Used in MM Hedge to compute FV of USD investment.</t>
  </si>
  <si>
    <t xml:space="preserve">  HEDGE CALCULATIONS</t>
  </si>
  <si>
    <t>5</t>
  </si>
  <si>
    <t>EUR Interest Rate (R_FC)</t>
  </si>
  <si>
    <t>2.65% — 1-year EUR deposit rate (assumed; consistent with ECB policy rate environment). Used in MM Hedge to discount EUR receivable to PV.</t>
  </si>
  <si>
    <t>6</t>
  </si>
  <si>
    <t>Put Strike  (K_PUT)</t>
  </si>
  <si>
    <t>1.1608 (at-the-money; K = S₀). Firm buys put options to guarantee a minimum EUR/USD floor. If spot at maturity &lt; K, put is exercised.</t>
  </si>
  <si>
    <t>7</t>
  </si>
  <si>
    <t>Call Strike  (K_CALL)</t>
  </si>
  <si>
    <t>1.1608 (at-the-money; K = S₀). Used on Payables sheet — firm buys calls to cap the USD cost of the EUR payable.</t>
  </si>
  <si>
    <t>8</t>
  </si>
  <si>
    <t>Put Premium  (PREM_PUT)</t>
  </si>
  <si>
    <t>$0.021 per EUR. Total cost = €8,000,000 × $0.021 = $168,000. No contract multiplier per assignment instructions. FV of premium included in option hedge proceeds.</t>
  </si>
  <si>
    <t>9</t>
  </si>
  <si>
    <t>Call Premium (PREM_CALL)</t>
  </si>
  <si>
    <t>$0.026 per EUR. Total cost = €8,000,000 × $0.026 = $208,000. No contract multiplier per assignment instructions. FV of premium included in option hedge cost.</t>
  </si>
  <si>
    <t>10</t>
  </si>
  <si>
    <t>Time Horizon  (T_DAYS)</t>
  </si>
  <si>
    <t>365 days = 1 year. Annual compounding assumed (no day-count convention adjustment such as ACT/360 or ACT/365 applied).</t>
  </si>
  <si>
    <t>11</t>
  </si>
  <si>
    <t>MM Hedge — Receivable</t>
  </si>
  <si>
    <t>Step [a]: Borrow PV of €8M at EUR rate → receive €7,793,473 today. Step [b]: Convert at spot S₀ → $9,046,663. Step [c]: Invest at USD rate for 1 yr → $9,363,297 locked in.</t>
  </si>
  <si>
    <t>12</t>
  </si>
  <si>
    <t>MM Hedge — Payable</t>
  </si>
  <si>
    <t>Step [a]: Find PV of €8M payable at EUR rate. Step [b]: Convert PV to USD &amp; borrow. Step [c]: Convert borrowed USD back to EUR. Step [d]: Invest EUR → pay obligation at maturity. FV of USD borrowing = locked cost.</t>
  </si>
  <si>
    <t xml:space="preserve">  OPTION &amp; PARITY</t>
  </si>
  <si>
    <t>13</t>
  </si>
  <si>
    <t>Forward ≈ MM Parity</t>
  </si>
  <si>
    <t>Covered Interest Rate Parity (CIP) implies Forward Hedge ≈ MM Hedge result. Small differences arise only from rounding. Both should be within &lt;1% of each other — model confirms this.</t>
  </si>
  <si>
    <t>14</t>
  </si>
  <si>
    <t>Option Exercise Style</t>
  </si>
  <si>
    <t>European-style assumed: options exercised only at maturity. No early exercise modeled. This is standard for FX options on OTC markets.</t>
  </si>
  <si>
    <t>15</t>
  </si>
  <si>
    <t>Bid-Ask Spreads</t>
  </si>
  <si>
    <t>Ignored throughout. No transaction costs, commissions, or bid-ask adjustments applied. In practice these would reduce net proceeds.</t>
  </si>
  <si>
    <t xml:space="preserve">  SENSITIVITY &amp; PRESENTATION</t>
  </si>
  <si>
    <t>16</t>
  </si>
  <si>
    <t>Sensitivity Range</t>
  </si>
  <si>
    <t>EUR/USD spot at maturity (S_T) varied from 0.95×S₀ to 1.07×S₀ in 1% increments (13 scenarios). Centered on S₀ = 1.1608 per assignment requirement of ±5% range.</t>
  </si>
  <si>
    <t>17</t>
  </si>
  <si>
    <t>Color Coding Key</t>
  </si>
  <si>
    <t>YELLOW = Editable inputs  |  GREEN = Formula / intermediate steps  |  GRAY = Output / summary KPIs  |  BLUE (text) = All formula cells throughout model</t>
  </si>
  <si>
    <t>18</t>
  </si>
  <si>
    <t>Named Ranges</t>
  </si>
  <si>
    <t>FC_AMT, S0_in, F0_in, R_USD, R_FC, K_PUT, K_CALL, PREM_PUT, PREM_CALL, T_DAYS — all defined in Name Manager for auditable formula references.</t>
  </si>
  <si>
    <t xml:space="preserve">  SCOPE &amp; STAGE NOTES</t>
  </si>
  <si>
    <t>19</t>
  </si>
  <si>
    <t>Hedge Recommendation</t>
  </si>
  <si>
    <t>Summary row marked "TBD – Stage 4". Formal recommendation (with rationale, scenario analysis, and executive summary) will be delivered in Stage 4.</t>
  </si>
  <si>
    <t>20</t>
  </si>
  <si>
    <t>Model Scope</t>
  </si>
  <si>
    <t>Two sheets cover Receivable (exporter) and Payable (importer) scenarios. This model addresses the Receivable scenario per Stage 2 assignment (Scenario 2 – U.S. Pharmaceutical Exporter).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</si>
</sst>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£]#,##0"/>
    <numFmt numFmtId="165" formatCode="\$#,##0.00"/>
    <numFmt numFmtId="166" formatCode="\$#,##0"/>
    <numFmt numFmtId="167" formatCode="0.0000"/>
  </numFmts>
  <fonts count="21" x14ac:knownFonts="1">
    <font>
      <sz val="10"/>
      <color rgb="FF000000"/>
      <name val="Arial"/>
      <charset val="1"/>
    </font>
    <font>
      <sz val="18"/>
      <color theme="1"/>
      <name val="Arial"/>
      <family val="2"/>
      <charset val="1"/>
    </font>
    <font>
      <b/>
      <sz val="18"/>
      <color theme="1"/>
      <name val="Arial"/>
      <family val="2"/>
      <charset val="1"/>
    </font>
    <font>
      <sz val="11"/>
      <color rgb="FF000000"/>
      <name val="Arial"/>
      <family val="2"/>
    </font>
    <font>
      <b/>
      <sz val="18"/>
      <color rgb="FF000000"/>
      <name val="Inconsolata"/>
      <charset val="1"/>
    </font>
    <font>
      <u/>
      <sz val="18"/>
      <color theme="1"/>
      <name val="Arial"/>
      <family val="2"/>
      <charset val="1"/>
    </font>
    <font>
      <b/>
      <sz val="18"/>
      <color rgb="FF0000FF"/>
      <name val="Arial"/>
      <family val="2"/>
      <charset val="1"/>
    </font>
    <font>
      <sz val="11"/>
      <color rgb="FF0000FF"/>
      <name val="Arial"/>
      <family val="2"/>
    </font>
    <font>
      <sz val="18"/>
      <color rgb="FF0000FF"/>
      <name val="Arial"/>
      <family val="2"/>
      <charset val="1"/>
    </font>
    <font>
      <b/>
      <sz val="9"/>
      <color rgb="FF000000"/>
      <name val="Arial"/>
      <family val="2"/>
    </font>
    <font>
      <sz val="10"/>
      <color rgb="FF0000FF"/>
      <name val="Arial"/>
      <family val="2"/>
    </font>
    <font>
      <sz val="22"/>
      <color theme="1"/>
      <name val="Arial"/>
      <family val="2"/>
      <charset val="1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i/>
      <sz val="10"/>
      <color rgb="FF000000"/>
      <name val="Arial"/>
      <family val="2"/>
    </font>
    <font>
      <b/>
      <sz val="14"/>
      <color rgb="FFFFFFFF"/>
      <name val="Arial"/>
      <family val="2"/>
    </font>
    <font>
      <i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3F3F3"/>
        <bgColor rgb="FFF7FAF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D9D9D9"/>
      </patternFill>
    </fill>
    <fill>
      <patternFill patternType="solid">
        <fgColor rgb="FFD9D9D9"/>
        <bgColor rgb="FFEAD1DC"/>
      </patternFill>
    </fill>
    <fill>
      <patternFill patternType="solid">
        <fgColor rgb="FFFFFFFF"/>
        <bgColor rgb="FFF7FAFC"/>
      </patternFill>
    </fill>
    <fill>
      <patternFill patternType="solid">
        <fgColor rgb="FFE2EFDA"/>
        <bgColor rgb="FFF3F3F3"/>
      </patternFill>
    </fill>
    <fill>
      <patternFill patternType="solid">
        <fgColor rgb="FFCFE2F3"/>
        <bgColor rgb="FFD9D9D9"/>
      </patternFill>
    </fill>
    <fill>
      <patternFill patternType="solid">
        <fgColor rgb="FF2E4057"/>
        <bgColor rgb="FF003366"/>
      </patternFill>
    </fill>
    <fill>
      <patternFill patternType="solid">
        <fgColor rgb="FF4A6FA5"/>
        <bgColor rgb="FF6B8CAE"/>
      </patternFill>
    </fill>
    <fill>
      <patternFill patternType="solid">
        <fgColor rgb="FF6B8CAE"/>
        <bgColor rgb="FF4A6FA5"/>
      </patternFill>
    </fill>
    <fill>
      <patternFill patternType="solid">
        <fgColor rgb="FFF7FAFC"/>
        <bgColor rgb="FFFFFFFF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ck">
        <color auto="1"/>
      </left>
      <right/>
      <top style="thick">
        <color auto="1"/>
      </top>
      <bottom style="thin">
        <color rgb="FFFFFFFF"/>
      </bottom>
      <diagonal/>
    </border>
    <border>
      <left/>
      <right style="thick">
        <color auto="1"/>
      </right>
      <top style="thick">
        <color auto="1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auto="1"/>
      </right>
      <top style="thin">
        <color rgb="FFFFFFFF"/>
      </top>
      <bottom style="thin">
        <color rgb="FFFFFFFF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rgb="FFFFFFFF"/>
      </top>
      <bottom style="medium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auto="1"/>
      </left>
      <right style="thin">
        <color rgb="FFFFFFFF"/>
      </right>
      <top style="thin">
        <color rgb="FFFFFFFF"/>
      </top>
      <bottom style="thick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auto="1"/>
      </bottom>
      <diagonal/>
    </border>
    <border>
      <left style="thin">
        <color rgb="FFFFFFFF"/>
      </left>
      <right style="thick">
        <color auto="1"/>
      </right>
      <top style="thin">
        <color rgb="FFFFFFFF"/>
      </top>
      <bottom style="thick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rgb="FFFFFFFF"/>
      </bottom>
      <diagonal/>
    </border>
    <border>
      <left style="dotted">
        <color auto="1"/>
      </left>
      <right style="thin">
        <color rgb="FFFFFFFF"/>
      </right>
      <top style="thin">
        <color rgb="FFFFFFFF"/>
      </top>
      <bottom style="dotted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auto="1"/>
      </bottom>
      <diagonal/>
    </border>
    <border>
      <left style="thin">
        <color rgb="FFFFFFFF"/>
      </left>
      <right style="dotted">
        <color auto="1"/>
      </right>
      <top style="thin">
        <color rgb="FFFFFFFF"/>
      </top>
      <bottom style="dotted">
        <color auto="1"/>
      </bottom>
      <diagonal/>
    </border>
    <border>
      <left style="dotted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dotted">
        <color auto="1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auto="1"/>
      </right>
      <top style="thin">
        <color rgb="FFFFFFFF"/>
      </top>
      <bottom/>
      <diagonal/>
    </border>
    <border>
      <left style="medium">
        <color auto="1"/>
      </left>
      <right/>
      <top style="medium">
        <color auto="1"/>
      </top>
      <bottom style="thin">
        <color rgb="FFFFFFFF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rgb="FFFFFFFF"/>
      </right>
      <top style="medium">
        <color auto="1"/>
      </top>
      <bottom style="thin">
        <color rgb="FFFFFFFF"/>
      </bottom>
      <diagonal/>
    </border>
    <border>
      <left style="thin">
        <color rgb="FFFFFFFF"/>
      </left>
      <right style="medium">
        <color auto="1"/>
      </right>
      <top style="medium">
        <color auto="1"/>
      </top>
      <bottom style="thin">
        <color rgb="FFFFFFFF"/>
      </bottom>
      <diagonal/>
    </border>
    <border>
      <left style="medium">
        <color auto="1"/>
      </left>
      <right/>
      <top style="thin">
        <color rgb="FFFFFFFF"/>
      </top>
      <bottom style="thin">
        <color rgb="FFFFFFFF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FFFFFF"/>
      </left>
      <right style="medium">
        <color auto="1"/>
      </right>
      <top style="thin">
        <color rgb="FFFFFFFF"/>
      </top>
      <bottom style="thin">
        <color rgb="FFFFFFFF"/>
      </bottom>
      <diagonal/>
    </border>
    <border>
      <left style="medium">
        <color auto="1"/>
      </left>
      <right/>
      <top style="thin">
        <color rgb="FFFFFFFF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 style="medium">
        <color auto="1"/>
      </bottom>
      <diagonal/>
    </border>
    <border>
      <left style="thin">
        <color rgb="FFFFFFFF"/>
      </left>
      <right style="medium">
        <color auto="1"/>
      </right>
      <top style="thin">
        <color rgb="FFFFFFFF"/>
      </top>
      <bottom style="medium">
        <color auto="1"/>
      </bottom>
      <diagonal/>
    </border>
    <border>
      <left style="thin">
        <color auto="1"/>
      </left>
      <right style="thin">
        <color rgb="FFFFFFFF"/>
      </right>
      <top style="medium">
        <color auto="1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auto="1"/>
      </top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medium">
        <color auto="1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rgb="FFFFFFFF"/>
      </top>
      <bottom style="medium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auto="1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medium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6" fillId="9" borderId="0" xfId="0" applyFont="1" applyFill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textRotation="90"/>
    </xf>
    <xf numFmtId="0" fontId="2" fillId="8" borderId="26" xfId="0" applyFont="1" applyFill="1" applyBorder="1" applyAlignment="1">
      <alignment horizontal="center" vertical="top"/>
    </xf>
    <xf numFmtId="0" fontId="2" fillId="0" borderId="26" xfId="0" applyFont="1" applyBorder="1" applyAlignment="1">
      <alignment horizontal="center" vertical="top"/>
    </xf>
    <xf numFmtId="0" fontId="2" fillId="2" borderId="25" xfId="0" applyFont="1" applyFill="1" applyBorder="1" applyAlignment="1">
      <alignment horizontal="center" vertical="top" wrapText="1"/>
    </xf>
    <xf numFmtId="0" fontId="1" fillId="0" borderId="23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2" fillId="2" borderId="18" xfId="0" applyFont="1" applyFill="1" applyBorder="1" applyAlignment="1">
      <alignment vertical="top"/>
    </xf>
    <xf numFmtId="0" fontId="2" fillId="0" borderId="21" xfId="0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2" fillId="2" borderId="18" xfId="0" applyFont="1" applyFill="1" applyBorder="1"/>
    <xf numFmtId="0" fontId="2" fillId="2" borderId="4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2" fillId="2" borderId="5" xfId="0" applyFont="1" applyFill="1" applyBorder="1" applyAlignment="1">
      <alignment horizontal="center" vertical="top"/>
    </xf>
    <xf numFmtId="0" fontId="1" fillId="0" borderId="6" xfId="0" applyFont="1" applyBorder="1" applyAlignment="1">
      <alignment vertical="top"/>
    </xf>
    <xf numFmtId="0" fontId="2" fillId="0" borderId="7" xfId="0" applyFont="1" applyBorder="1" applyAlignment="1">
      <alignment horizontal="center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3" fillId="3" borderId="10" xfId="0" applyNumberFormat="1" applyFont="1" applyFill="1" applyBorder="1" applyAlignment="1">
      <alignment vertical="top"/>
    </xf>
    <xf numFmtId="164" fontId="1" fillId="0" borderId="6" xfId="0" applyNumberFormat="1" applyFont="1" applyBorder="1" applyAlignment="1">
      <alignment vertical="top"/>
    </xf>
    <xf numFmtId="0" fontId="4" fillId="4" borderId="11" xfId="0" applyFont="1" applyFill="1" applyBorder="1"/>
    <xf numFmtId="164" fontId="1" fillId="0" borderId="8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3" fillId="3" borderId="10" xfId="0" applyNumberFormat="1" applyFont="1" applyFill="1" applyBorder="1" applyAlignment="1">
      <alignment vertical="top"/>
    </xf>
    <xf numFmtId="166" fontId="1" fillId="0" borderId="6" xfId="0" applyNumberFormat="1" applyFont="1" applyBorder="1" applyAlignment="1">
      <alignment vertical="top"/>
    </xf>
    <xf numFmtId="0" fontId="4" fillId="5" borderId="11" xfId="0" applyFont="1" applyFill="1" applyBorder="1"/>
    <xf numFmtId="0" fontId="5" fillId="0" borderId="9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6" borderId="10" xfId="0" applyNumberFormat="1" applyFont="1" applyFill="1" applyBorder="1" applyAlignment="1">
      <alignment vertical="top"/>
    </xf>
    <xf numFmtId="164" fontId="6" fillId="0" borderId="12" xfId="0" applyNumberFormat="1" applyFont="1" applyBorder="1" applyAlignment="1">
      <alignment vertical="top"/>
    </xf>
    <xf numFmtId="10" fontId="3" fillId="3" borderId="10" xfId="0" applyNumberFormat="1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165" fontId="1" fillId="6" borderId="10" xfId="0" applyNumberFormat="1" applyFont="1" applyFill="1" applyBorder="1" applyAlignment="1">
      <alignment vertical="top"/>
    </xf>
    <xf numFmtId="0" fontId="1" fillId="6" borderId="10" xfId="0" applyFont="1" applyFill="1" applyBorder="1" applyAlignment="1">
      <alignment vertical="top"/>
    </xf>
    <xf numFmtId="0" fontId="1" fillId="0" borderId="9" xfId="0" applyFont="1" applyBorder="1"/>
    <xf numFmtId="165" fontId="1" fillId="0" borderId="1" xfId="0" applyNumberFormat="1" applyFont="1" applyBorder="1"/>
    <xf numFmtId="165" fontId="3" fillId="3" borderId="10" xfId="0" applyNumberFormat="1" applyFont="1" applyFill="1" applyBorder="1"/>
    <xf numFmtId="0" fontId="1" fillId="0" borderId="14" xfId="0" applyFont="1" applyBorder="1" applyAlignment="1">
      <alignment vertical="top"/>
    </xf>
    <xf numFmtId="165" fontId="1" fillId="0" borderId="15" xfId="0" applyNumberFormat="1" applyFont="1" applyBorder="1" applyAlignment="1">
      <alignment vertical="top"/>
    </xf>
    <xf numFmtId="165" fontId="3" fillId="3" borderId="16" xfId="0" applyNumberFormat="1" applyFont="1" applyFill="1" applyBorder="1" applyAlignment="1">
      <alignment vertical="top"/>
    </xf>
    <xf numFmtId="0" fontId="1" fillId="0" borderId="1" xfId="0" applyFont="1" applyBorder="1"/>
    <xf numFmtId="0" fontId="3" fillId="0" borderId="17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1" fontId="3" fillId="3" borderId="17" xfId="0" applyNumberFormat="1" applyFont="1" applyFill="1" applyBorder="1" applyAlignment="1">
      <alignment vertical="top"/>
    </xf>
    <xf numFmtId="166" fontId="1" fillId="0" borderId="2" xfId="0" applyNumberFormat="1" applyFont="1" applyBorder="1" applyAlignment="1">
      <alignment vertical="top"/>
    </xf>
    <xf numFmtId="166" fontId="3" fillId="3" borderId="2" xfId="0" applyNumberFormat="1" applyFont="1" applyFill="1" applyBorder="1" applyAlignment="1">
      <alignment vertical="top"/>
    </xf>
    <xf numFmtId="0" fontId="1" fillId="0" borderId="2" xfId="0" applyFont="1" applyBorder="1"/>
    <xf numFmtId="0" fontId="1" fillId="0" borderId="19" xfId="0" applyFont="1" applyBorder="1" applyAlignment="1">
      <alignment vertical="top"/>
    </xf>
    <xf numFmtId="166" fontId="7" fillId="5" borderId="20" xfId="0" applyNumberFormat="1" applyFont="1" applyFill="1" applyBorder="1" applyAlignment="1">
      <alignment vertical="top"/>
    </xf>
    <xf numFmtId="166" fontId="1" fillId="0" borderId="17" xfId="0" applyNumberFormat="1" applyFont="1" applyBorder="1" applyAlignment="1">
      <alignment vertical="top"/>
    </xf>
    <xf numFmtId="164" fontId="7" fillId="7" borderId="1" xfId="0" applyNumberFormat="1" applyFont="1" applyFill="1" applyBorder="1" applyAlignment="1">
      <alignment vertical="top"/>
    </xf>
    <xf numFmtId="0" fontId="1" fillId="0" borderId="23" xfId="0" applyFont="1" applyBorder="1" applyAlignment="1">
      <alignment vertical="top"/>
    </xf>
    <xf numFmtId="166" fontId="7" fillId="7" borderId="1" xfId="0" applyNumberFormat="1" applyFont="1" applyFill="1" applyBorder="1" applyAlignment="1">
      <alignment vertical="top"/>
    </xf>
    <xf numFmtId="0" fontId="2" fillId="6" borderId="20" xfId="0" applyFont="1" applyFill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164" fontId="1" fillId="0" borderId="1" xfId="0" applyNumberFormat="1" applyFont="1" applyBorder="1"/>
    <xf numFmtId="0" fontId="1" fillId="0" borderId="20" xfId="0" applyFont="1" applyBorder="1" applyAlignment="1">
      <alignment vertical="top"/>
    </xf>
    <xf numFmtId="166" fontId="7" fillId="5" borderId="20" xfId="0" applyNumberFormat="1" applyFont="1" applyFill="1" applyBorder="1" applyAlignment="1">
      <alignment horizontal="right" vertical="top"/>
    </xf>
    <xf numFmtId="0" fontId="1" fillId="0" borderId="24" xfId="0" applyFont="1" applyBorder="1" applyAlignment="1">
      <alignment vertical="top"/>
    </xf>
    <xf numFmtId="0" fontId="2" fillId="0" borderId="27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28" xfId="0" applyNumberFormat="1" applyFont="1" applyBorder="1" applyAlignment="1">
      <alignment horizontal="center" vertical="top"/>
    </xf>
    <xf numFmtId="166" fontId="2" fillId="8" borderId="27" xfId="0" applyNumberFormat="1" applyFont="1" applyFill="1" applyBorder="1" applyAlignment="1">
      <alignment horizontal="center" vertical="top" wrapText="1"/>
    </xf>
    <xf numFmtId="0" fontId="2" fillId="8" borderId="0" xfId="0" applyFont="1" applyFill="1" applyAlignment="1">
      <alignment horizontal="center" vertical="top"/>
    </xf>
    <xf numFmtId="166" fontId="2" fillId="8" borderId="28" xfId="0" applyNumberFormat="1" applyFont="1" applyFill="1" applyBorder="1" applyAlignment="1">
      <alignment horizontal="center" vertical="top"/>
    </xf>
    <xf numFmtId="0" fontId="2" fillId="0" borderId="28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7" fontId="10" fillId="5" borderId="29" xfId="0" applyNumberFormat="1" applyFont="1" applyFill="1" applyBorder="1" applyAlignment="1">
      <alignment vertical="top"/>
    </xf>
    <xf numFmtId="166" fontId="8" fillId="0" borderId="30" xfId="0" applyNumberFormat="1" applyFont="1" applyBorder="1" applyAlignment="1">
      <alignment vertical="top"/>
    </xf>
    <xf numFmtId="166" fontId="8" fillId="0" borderId="31" xfId="0" applyNumberFormat="1" applyFont="1" applyBorder="1" applyAlignment="1">
      <alignment vertical="top"/>
    </xf>
    <xf numFmtId="166" fontId="8" fillId="0" borderId="31" xfId="0" applyNumberFormat="1" applyFont="1" applyBorder="1"/>
    <xf numFmtId="166" fontId="8" fillId="0" borderId="32" xfId="0" applyNumberFormat="1" applyFont="1" applyBorder="1"/>
    <xf numFmtId="166" fontId="8" fillId="8" borderId="30" xfId="0" applyNumberFormat="1" applyFont="1" applyFill="1" applyBorder="1" applyAlignment="1">
      <alignment vertical="top"/>
    </xf>
    <xf numFmtId="166" fontId="8" fillId="8" borderId="31" xfId="0" applyNumberFormat="1" applyFont="1" applyFill="1" applyBorder="1" applyAlignment="1">
      <alignment vertical="top"/>
    </xf>
    <xf numFmtId="166" fontId="8" fillId="8" borderId="32" xfId="0" applyNumberFormat="1" applyFont="1" applyFill="1" applyBorder="1" applyAlignment="1">
      <alignment vertical="top"/>
    </xf>
    <xf numFmtId="0" fontId="8" fillId="0" borderId="33" xfId="0" applyFont="1" applyBorder="1" applyAlignment="1">
      <alignment horizontal="center" vertical="top"/>
    </xf>
    <xf numFmtId="0" fontId="8" fillId="0" borderId="34" xfId="0" applyFont="1" applyBorder="1" applyAlignment="1">
      <alignment horizontal="center" vertical="top"/>
    </xf>
    <xf numFmtId="167" fontId="10" fillId="5" borderId="35" xfId="0" applyNumberFormat="1" applyFont="1" applyFill="1" applyBorder="1" applyAlignment="1">
      <alignment vertical="top"/>
    </xf>
    <xf numFmtId="166" fontId="8" fillId="0" borderId="36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37" xfId="0" applyNumberFormat="1" applyFont="1" applyBorder="1"/>
    <xf numFmtId="166" fontId="8" fillId="8" borderId="36" xfId="0" applyNumberFormat="1" applyFont="1" applyFill="1" applyBorder="1" applyAlignment="1">
      <alignment vertical="top"/>
    </xf>
    <xf numFmtId="166" fontId="8" fillId="8" borderId="0" xfId="0" applyNumberFormat="1" applyFont="1" applyFill="1" applyAlignment="1">
      <alignment vertical="top"/>
    </xf>
    <xf numFmtId="0" fontId="8" fillId="0" borderId="8" xfId="0" applyFont="1" applyBorder="1" applyAlignment="1">
      <alignment horizontal="center" vertical="top"/>
    </xf>
    <xf numFmtId="0" fontId="8" fillId="0" borderId="38" xfId="0" applyFont="1" applyBorder="1" applyAlignment="1">
      <alignment horizontal="center" vertical="top"/>
    </xf>
    <xf numFmtId="0" fontId="11" fillId="0" borderId="8" xfId="0" applyFont="1" applyBorder="1" applyAlignment="1">
      <alignment vertical="top"/>
    </xf>
    <xf numFmtId="166" fontId="8" fillId="0" borderId="38" xfId="0" applyNumberFormat="1" applyFont="1" applyBorder="1" applyAlignment="1">
      <alignment horizontal="center" vertical="top"/>
    </xf>
    <xf numFmtId="167" fontId="10" fillId="5" borderId="39" xfId="0" applyNumberFormat="1" applyFont="1" applyFill="1" applyBorder="1" applyAlignment="1">
      <alignment vertical="top"/>
    </xf>
    <xf numFmtId="166" fontId="8" fillId="0" borderId="40" xfId="0" applyNumberFormat="1" applyFont="1" applyBorder="1" applyAlignment="1">
      <alignment vertical="top"/>
    </xf>
    <xf numFmtId="166" fontId="8" fillId="0" borderId="41" xfId="0" applyNumberFormat="1" applyFont="1" applyBorder="1" applyAlignment="1">
      <alignment vertical="top"/>
    </xf>
    <xf numFmtId="166" fontId="8" fillId="0" borderId="41" xfId="0" applyNumberFormat="1" applyFont="1" applyBorder="1"/>
    <xf numFmtId="166" fontId="8" fillId="0" borderId="42" xfId="0" applyNumberFormat="1" applyFont="1" applyBorder="1"/>
    <xf numFmtId="166" fontId="8" fillId="8" borderId="40" xfId="0" applyNumberFormat="1" applyFont="1" applyFill="1" applyBorder="1" applyAlignment="1">
      <alignment vertical="top"/>
    </xf>
    <xf numFmtId="166" fontId="8" fillId="8" borderId="41" xfId="0" applyNumberFormat="1" applyFont="1" applyFill="1" applyBorder="1" applyAlignment="1">
      <alignment vertical="top"/>
    </xf>
    <xf numFmtId="0" fontId="8" fillId="0" borderId="43" xfId="0" applyFont="1" applyBorder="1" applyAlignment="1">
      <alignment horizontal="center" vertical="top"/>
    </xf>
    <xf numFmtId="166" fontId="8" fillId="0" borderId="44" xfId="0" applyNumberFormat="1" applyFont="1" applyBorder="1" applyAlignment="1">
      <alignment horizontal="center" vertical="top"/>
    </xf>
    <xf numFmtId="0" fontId="13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166" fontId="3" fillId="5" borderId="1" xfId="0" applyNumberFormat="1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14" fillId="5" borderId="1" xfId="0" applyFont="1" applyFill="1" applyBorder="1" applyAlignment="1">
      <alignment vertical="top"/>
    </xf>
    <xf numFmtId="0" fontId="15" fillId="5" borderId="1" xfId="0" applyFont="1" applyFill="1" applyBorder="1" applyAlignment="1">
      <alignment vertical="top"/>
    </xf>
    <xf numFmtId="0" fontId="7" fillId="5" borderId="11" xfId="0" applyFont="1" applyFill="1" applyBorder="1"/>
    <xf numFmtId="164" fontId="8" fillId="0" borderId="1" xfId="0" applyNumberFormat="1" applyFont="1" applyBorder="1" applyAlignment="1">
      <alignment vertical="top"/>
    </xf>
    <xf numFmtId="166" fontId="1" fillId="0" borderId="24" xfId="0" applyNumberFormat="1" applyFont="1" applyBorder="1" applyAlignment="1">
      <alignment vertical="top"/>
    </xf>
    <xf numFmtId="166" fontId="8" fillId="0" borderId="45" xfId="0" applyNumberFormat="1" applyFont="1" applyBorder="1" applyAlignment="1">
      <alignment vertical="top"/>
    </xf>
    <xf numFmtId="166" fontId="8" fillId="0" borderId="46" xfId="0" applyNumberFormat="1" applyFont="1" applyBorder="1" applyAlignment="1">
      <alignment vertical="top"/>
    </xf>
    <xf numFmtId="166" fontId="8" fillId="0" borderId="46" xfId="0" applyNumberFormat="1" applyFont="1" applyBorder="1"/>
    <xf numFmtId="166" fontId="8" fillId="0" borderId="47" xfId="0" applyNumberFormat="1" applyFont="1" applyBorder="1"/>
    <xf numFmtId="166" fontId="8" fillId="8" borderId="45" xfId="0" applyNumberFormat="1" applyFont="1" applyFill="1" applyBorder="1" applyAlignment="1">
      <alignment vertical="top"/>
    </xf>
    <xf numFmtId="166" fontId="8" fillId="8" borderId="46" xfId="0" applyNumberFormat="1" applyFont="1" applyFill="1" applyBorder="1" applyAlignment="1">
      <alignment vertical="top"/>
    </xf>
    <xf numFmtId="166" fontId="8" fillId="8" borderId="47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166" fontId="8" fillId="0" borderId="34" xfId="0" applyNumberFormat="1" applyFont="1" applyBorder="1" applyAlignment="1">
      <alignment horizontal="center" vertical="top"/>
    </xf>
    <xf numFmtId="166" fontId="8" fillId="0" borderId="48" xfId="0" applyNumberFormat="1" applyFont="1" applyBorder="1" applyAlignment="1">
      <alignment vertical="top"/>
    </xf>
    <xf numFmtId="166" fontId="8" fillId="0" borderId="1" xfId="0" applyNumberFormat="1" applyFont="1" applyBorder="1"/>
    <xf numFmtId="166" fontId="8" fillId="0" borderId="49" xfId="0" applyNumberFormat="1" applyFont="1" applyBorder="1"/>
    <xf numFmtId="166" fontId="8" fillId="8" borderId="48" xfId="0" applyNumberFormat="1" applyFont="1" applyFill="1" applyBorder="1" applyAlignment="1">
      <alignment vertical="top"/>
    </xf>
    <xf numFmtId="166" fontId="8" fillId="8" borderId="1" xfId="0" applyNumberFormat="1" applyFont="1" applyFill="1" applyBorder="1" applyAlignment="1">
      <alignment vertical="top"/>
    </xf>
    <xf numFmtId="166" fontId="8" fillId="8" borderId="49" xfId="0" applyNumberFormat="1" applyFont="1" applyFill="1" applyBorder="1" applyAlignment="1">
      <alignment vertical="top"/>
    </xf>
    <xf numFmtId="0" fontId="8" fillId="0" borderId="48" xfId="0" applyFont="1" applyBorder="1" applyAlignment="1">
      <alignment horizontal="center" vertical="top"/>
    </xf>
    <xf numFmtId="166" fontId="8" fillId="0" borderId="50" xfId="0" applyNumberFormat="1" applyFont="1" applyBorder="1" applyAlignment="1">
      <alignment vertical="top"/>
    </xf>
    <xf numFmtId="166" fontId="8" fillId="0" borderId="51" xfId="0" applyNumberFormat="1" applyFont="1" applyBorder="1" applyAlignment="1">
      <alignment vertical="top"/>
    </xf>
    <xf numFmtId="166" fontId="8" fillId="0" borderId="51" xfId="0" applyNumberFormat="1" applyFont="1" applyBorder="1"/>
    <xf numFmtId="166" fontId="8" fillId="0" borderId="52" xfId="0" applyNumberFormat="1" applyFont="1" applyBorder="1"/>
    <xf numFmtId="166" fontId="8" fillId="8" borderId="50" xfId="0" applyNumberFormat="1" applyFont="1" applyFill="1" applyBorder="1" applyAlignment="1">
      <alignment vertical="top"/>
    </xf>
    <xf numFmtId="166" fontId="8" fillId="8" borderId="51" xfId="0" applyNumberFormat="1" applyFont="1" applyFill="1" applyBorder="1" applyAlignment="1">
      <alignment vertical="top"/>
    </xf>
    <xf numFmtId="166" fontId="8" fillId="8" borderId="52" xfId="0" applyNumberFormat="1" applyFont="1" applyFill="1" applyBorder="1" applyAlignment="1">
      <alignment vertical="top"/>
    </xf>
    <xf numFmtId="0" fontId="8" fillId="0" borderId="50" xfId="0" applyFont="1" applyBorder="1" applyAlignment="1">
      <alignment horizontal="center" vertical="top"/>
    </xf>
    <xf numFmtId="0" fontId="18" fillId="10" borderId="53" xfId="0" applyFont="1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top" wrapText="1"/>
    </xf>
    <xf numFmtId="0" fontId="20" fillId="12" borderId="53" xfId="0" applyFont="1" applyFill="1" applyBorder="1" applyAlignment="1">
      <alignment horizontal="left" vertical="top" wrapText="1"/>
    </xf>
    <xf numFmtId="0" fontId="0" fillId="12" borderId="53" xfId="0" applyFill="1" applyBorder="1" applyAlignment="1">
      <alignment horizontal="left" vertical="top" wrapText="1"/>
    </xf>
    <xf numFmtId="0" fontId="0" fillId="6" borderId="53" xfId="0" applyFill="1" applyBorder="1" applyAlignment="1">
      <alignment horizontal="center" vertical="top" wrapText="1"/>
    </xf>
    <xf numFmtId="0" fontId="20" fillId="6" borderId="53" xfId="0" applyFont="1" applyFill="1" applyBorder="1" applyAlignment="1">
      <alignment horizontal="left" vertical="top" wrapText="1"/>
    </xf>
    <xf numFmtId="0" fontId="0" fillId="6" borderId="53" xfId="0" applyFill="1" applyBorder="1" applyAlignment="1">
      <alignment horizontal="left" vertical="top" wrapText="1"/>
    </xf>
    <xf numFmtId="0" fontId="17" fillId="10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6B8CAE"/>
      <rgbColor rgb="FF9999FF"/>
      <rgbColor rgb="FF993366"/>
      <rgbColor rgb="FFF7FAFC"/>
      <rgbColor rgb="FFF3F3F3"/>
      <rgbColor rgb="FF660066"/>
      <rgbColor rgb="FFFF8080"/>
      <rgbColor rgb="FF0070C0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FF99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4A6FA5"/>
      <rgbColor rgb="FFB3B3B3"/>
      <rgbColor rgb="FF003366"/>
      <rgbColor rgb="FF00B050"/>
      <rgbColor rgb="FF003300"/>
      <rgbColor rgb="FF333300"/>
      <rgbColor rgb="FF993300"/>
      <rgbColor rgb="FF993366"/>
      <rgbColor rgb="FF59595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rial"/>
                <a:ea typeface="Arial"/>
              </a:rPr>
              <a:t>Hedge Strategy Comparison – USD Proceeds vs. EUR/USD Spot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Hedge (Unhedged)</c:v>
          </c:tx>
          <c:spPr>
            <a:ln w="28080">
              <a:solidFill>
                <a:srgbClr val="59595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'Transaction Hedging (Receivable'!$C$33:$C$45</c:f>
              <c:numCache>
                <c:formatCode>0.0000</c:formatCode>
                <c:ptCount val="13"/>
                <c:pt idx="0">
                  <c:v>1.10276</c:v>
                </c:pt>
                <c:pt idx="1">
                  <c:v>1.114368</c:v>
                </c:pt>
                <c:pt idx="2">
                  <c:v>1.1259760000000001</c:v>
                </c:pt>
                <c:pt idx="3">
                  <c:v>1.1375839999999999</c:v>
                </c:pt>
                <c:pt idx="4">
                  <c:v>1.149192</c:v>
                </c:pt>
                <c:pt idx="5">
                  <c:v>1.1608000000000001</c:v>
                </c:pt>
                <c:pt idx="6">
                  <c:v>1.1724080000000001</c:v>
                </c:pt>
                <c:pt idx="7">
                  <c:v>1.1840160000000002</c:v>
                </c:pt>
                <c:pt idx="8">
                  <c:v>1.195624</c:v>
                </c:pt>
                <c:pt idx="9">
                  <c:v>1.2072320000000001</c:v>
                </c:pt>
                <c:pt idx="10">
                  <c:v>1.2188400000000001</c:v>
                </c:pt>
                <c:pt idx="11">
                  <c:v>1.2304480000000002</c:v>
                </c:pt>
                <c:pt idx="12">
                  <c:v>1.242056</c:v>
                </c:pt>
              </c:numCache>
            </c:numRef>
          </c:cat>
          <c:val>
            <c:numRef>
              <c:f>'Transaction Hedging (Receivable'!$D$33:$D$45</c:f>
              <c:numCache>
                <c:formatCode>\$#,##0</c:formatCode>
                <c:ptCount val="13"/>
                <c:pt idx="0">
                  <c:v>8822080</c:v>
                </c:pt>
                <c:pt idx="1">
                  <c:v>8914944</c:v>
                </c:pt>
                <c:pt idx="2">
                  <c:v>9007808</c:v>
                </c:pt>
                <c:pt idx="3">
                  <c:v>9100672</c:v>
                </c:pt>
                <c:pt idx="4">
                  <c:v>9193536</c:v>
                </c:pt>
                <c:pt idx="5">
                  <c:v>9286400</c:v>
                </c:pt>
                <c:pt idx="6">
                  <c:v>9379264.0000000019</c:v>
                </c:pt>
                <c:pt idx="7">
                  <c:v>9472128.0000000019</c:v>
                </c:pt>
                <c:pt idx="8">
                  <c:v>9564992</c:v>
                </c:pt>
                <c:pt idx="9">
                  <c:v>9657856</c:v>
                </c:pt>
                <c:pt idx="10">
                  <c:v>9750720.0000000019</c:v>
                </c:pt>
                <c:pt idx="11">
                  <c:v>9843584.0000000019</c:v>
                </c:pt>
                <c:pt idx="12">
                  <c:v>9936448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E-1744-8CDE-05EA5C0FF51E}"/>
            </c:ext>
          </c:extLst>
        </c:ser>
        <c:ser>
          <c:idx val="1"/>
          <c:order val="1"/>
          <c:tx>
            <c:v>Forward Hedge</c:v>
          </c:tx>
          <c:spPr>
            <a:ln w="2808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'Transaction Hedging (Receivable'!$C$33:$C$45</c:f>
              <c:numCache>
                <c:formatCode>0.0000</c:formatCode>
                <c:ptCount val="13"/>
                <c:pt idx="0">
                  <c:v>1.10276</c:v>
                </c:pt>
                <c:pt idx="1">
                  <c:v>1.114368</c:v>
                </c:pt>
                <c:pt idx="2">
                  <c:v>1.1259760000000001</c:v>
                </c:pt>
                <c:pt idx="3">
                  <c:v>1.1375839999999999</c:v>
                </c:pt>
                <c:pt idx="4">
                  <c:v>1.149192</c:v>
                </c:pt>
                <c:pt idx="5">
                  <c:v>1.1608000000000001</c:v>
                </c:pt>
                <c:pt idx="6">
                  <c:v>1.1724080000000001</c:v>
                </c:pt>
                <c:pt idx="7">
                  <c:v>1.1840160000000002</c:v>
                </c:pt>
                <c:pt idx="8">
                  <c:v>1.195624</c:v>
                </c:pt>
                <c:pt idx="9">
                  <c:v>1.2072320000000001</c:v>
                </c:pt>
                <c:pt idx="10">
                  <c:v>1.2188400000000001</c:v>
                </c:pt>
                <c:pt idx="11">
                  <c:v>1.2304480000000002</c:v>
                </c:pt>
                <c:pt idx="12">
                  <c:v>1.242056</c:v>
                </c:pt>
              </c:numCache>
            </c:numRef>
          </c:cat>
          <c:val>
            <c:numRef>
              <c:f>'Transaction Hedging (Receivable'!$E$33:$E$45</c:f>
              <c:numCache>
                <c:formatCode>\$#,##0</c:formatCode>
                <c:ptCount val="13"/>
                <c:pt idx="0">
                  <c:v>8712000</c:v>
                </c:pt>
                <c:pt idx="1">
                  <c:v>8712000</c:v>
                </c:pt>
                <c:pt idx="2">
                  <c:v>8712000</c:v>
                </c:pt>
                <c:pt idx="3">
                  <c:v>8712000</c:v>
                </c:pt>
                <c:pt idx="4">
                  <c:v>8712000</c:v>
                </c:pt>
                <c:pt idx="5">
                  <c:v>8712000</c:v>
                </c:pt>
                <c:pt idx="6">
                  <c:v>8712000</c:v>
                </c:pt>
                <c:pt idx="7">
                  <c:v>8712000</c:v>
                </c:pt>
                <c:pt idx="8">
                  <c:v>8712000</c:v>
                </c:pt>
                <c:pt idx="9">
                  <c:v>8712000</c:v>
                </c:pt>
                <c:pt idx="10">
                  <c:v>8712000</c:v>
                </c:pt>
                <c:pt idx="11">
                  <c:v>8712000</c:v>
                </c:pt>
                <c:pt idx="12">
                  <c:v>8712000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6E-1744-8CDE-05EA5C0FF51E}"/>
            </c:ext>
          </c:extLst>
        </c:ser>
        <c:ser>
          <c:idx val="2"/>
          <c:order val="2"/>
          <c:tx>
            <c:v>Money Market Hedge</c:v>
          </c:tx>
          <c:spPr>
            <a:ln w="2808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'Transaction Hedging (Receivable'!$C$33:$C$45</c:f>
              <c:numCache>
                <c:formatCode>0.0000</c:formatCode>
                <c:ptCount val="13"/>
                <c:pt idx="0">
                  <c:v>1.10276</c:v>
                </c:pt>
                <c:pt idx="1">
                  <c:v>1.114368</c:v>
                </c:pt>
                <c:pt idx="2">
                  <c:v>1.1259760000000001</c:v>
                </c:pt>
                <c:pt idx="3">
                  <c:v>1.1375839999999999</c:v>
                </c:pt>
                <c:pt idx="4">
                  <c:v>1.149192</c:v>
                </c:pt>
                <c:pt idx="5">
                  <c:v>1.1608000000000001</c:v>
                </c:pt>
                <c:pt idx="6">
                  <c:v>1.1724080000000001</c:v>
                </c:pt>
                <c:pt idx="7">
                  <c:v>1.1840160000000002</c:v>
                </c:pt>
                <c:pt idx="8">
                  <c:v>1.195624</c:v>
                </c:pt>
                <c:pt idx="9">
                  <c:v>1.2072320000000001</c:v>
                </c:pt>
                <c:pt idx="10">
                  <c:v>1.2188400000000001</c:v>
                </c:pt>
                <c:pt idx="11">
                  <c:v>1.2304480000000002</c:v>
                </c:pt>
                <c:pt idx="12">
                  <c:v>1.242056</c:v>
                </c:pt>
              </c:numCache>
            </c:numRef>
          </c:cat>
          <c:val>
            <c:numRef>
              <c:f>'Transaction Hedging (Receivable'!$F$33:$F$45</c:f>
              <c:numCache>
                <c:formatCode>\$#,##0</c:formatCode>
                <c:ptCount val="13"/>
                <c:pt idx="0">
                  <c:v>9363296.6390647832</c:v>
                </c:pt>
                <c:pt idx="1">
                  <c:v>9363296.6390647832</c:v>
                </c:pt>
                <c:pt idx="2">
                  <c:v>9363296.6390647832</c:v>
                </c:pt>
                <c:pt idx="3">
                  <c:v>9363296.6390647832</c:v>
                </c:pt>
                <c:pt idx="4">
                  <c:v>9363296.6390647832</c:v>
                </c:pt>
                <c:pt idx="5">
                  <c:v>9363296.6390647832</c:v>
                </c:pt>
                <c:pt idx="6">
                  <c:v>9363296.6390647832</c:v>
                </c:pt>
                <c:pt idx="7">
                  <c:v>9363296.6390647832</c:v>
                </c:pt>
                <c:pt idx="8">
                  <c:v>9363296.6390647832</c:v>
                </c:pt>
                <c:pt idx="9">
                  <c:v>9363296.6390647832</c:v>
                </c:pt>
                <c:pt idx="10">
                  <c:v>9363296.6390647832</c:v>
                </c:pt>
                <c:pt idx="11">
                  <c:v>9363296.6390647832</c:v>
                </c:pt>
                <c:pt idx="12">
                  <c:v>9363296.6390647832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6E-1744-8CDE-05EA5C0FF51E}"/>
            </c:ext>
          </c:extLst>
        </c:ser>
        <c:ser>
          <c:idx val="3"/>
          <c:order val="3"/>
          <c:tx>
            <c:v>Put Option Hedge</c:v>
          </c:tx>
          <c:spPr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'Transaction Hedging (Receivable'!$C$33:$C$45</c:f>
              <c:numCache>
                <c:formatCode>0.0000</c:formatCode>
                <c:ptCount val="13"/>
                <c:pt idx="0">
                  <c:v>1.10276</c:v>
                </c:pt>
                <c:pt idx="1">
                  <c:v>1.114368</c:v>
                </c:pt>
                <c:pt idx="2">
                  <c:v>1.1259760000000001</c:v>
                </c:pt>
                <c:pt idx="3">
                  <c:v>1.1375839999999999</c:v>
                </c:pt>
                <c:pt idx="4">
                  <c:v>1.149192</c:v>
                </c:pt>
                <c:pt idx="5">
                  <c:v>1.1608000000000001</c:v>
                </c:pt>
                <c:pt idx="6">
                  <c:v>1.1724080000000001</c:v>
                </c:pt>
                <c:pt idx="7">
                  <c:v>1.1840160000000002</c:v>
                </c:pt>
                <c:pt idx="8">
                  <c:v>1.195624</c:v>
                </c:pt>
                <c:pt idx="9">
                  <c:v>1.2072320000000001</c:v>
                </c:pt>
                <c:pt idx="10">
                  <c:v>1.2188400000000001</c:v>
                </c:pt>
                <c:pt idx="11">
                  <c:v>1.2304480000000002</c:v>
                </c:pt>
                <c:pt idx="12">
                  <c:v>1.242056</c:v>
                </c:pt>
              </c:numCache>
            </c:numRef>
          </c:cat>
          <c:val>
            <c:numRef>
              <c:f>'Transaction Hedging (Receivable'!$G$33:$G$45</c:f>
              <c:numCache>
                <c:formatCode>\$#,##0</c:formatCode>
                <c:ptCount val="13"/>
                <c:pt idx="0">
                  <c:v>9112520</c:v>
                </c:pt>
                <c:pt idx="1">
                  <c:v>9112520</c:v>
                </c:pt>
                <c:pt idx="2">
                  <c:v>9112520</c:v>
                </c:pt>
                <c:pt idx="3">
                  <c:v>9112520.0000000019</c:v>
                </c:pt>
                <c:pt idx="4">
                  <c:v>9112520</c:v>
                </c:pt>
                <c:pt idx="5">
                  <c:v>9112520</c:v>
                </c:pt>
                <c:pt idx="6">
                  <c:v>9205384.0000000019</c:v>
                </c:pt>
                <c:pt idx="7">
                  <c:v>9298248.0000000019</c:v>
                </c:pt>
                <c:pt idx="8">
                  <c:v>9391112</c:v>
                </c:pt>
                <c:pt idx="9">
                  <c:v>9483976</c:v>
                </c:pt>
                <c:pt idx="10">
                  <c:v>9576840.0000000019</c:v>
                </c:pt>
                <c:pt idx="11">
                  <c:v>9669704.0000000019</c:v>
                </c:pt>
                <c:pt idx="12">
                  <c:v>9762568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6E-1744-8CDE-05EA5C0FF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14991"/>
        <c:axId val="23074236"/>
      </c:lineChart>
      <c:catAx>
        <c:axId val="84149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EUR/USD Spot Rate at Maturity  (S_T)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23074236"/>
        <c:crosses val="autoZero"/>
        <c:auto val="1"/>
        <c:lblAlgn val="ctr"/>
        <c:lblOffset val="100"/>
        <c:noMultiLvlLbl val="0"/>
      </c:catAx>
      <c:valAx>
        <c:axId val="230742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USD Proceeds at Maturity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84149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rial"/>
                <a:ea typeface="Arial"/>
              </a:rPr>
              <a:t>Hedge Strategy Comparison – USD Cost vs. EUR/USD Spot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Hedge (Unhedged)</c:v>
          </c:tx>
          <c:spPr>
            <a:ln w="28080">
              <a:solidFill>
                <a:srgbClr val="59595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'Transaction Hedging (Payables)'!$C$35:$C$47</c:f>
              <c:numCache>
                <c:formatCode>0.0000</c:formatCode>
                <c:ptCount val="13"/>
                <c:pt idx="0">
                  <c:v>1.10276</c:v>
                </c:pt>
                <c:pt idx="1">
                  <c:v>1.114368</c:v>
                </c:pt>
                <c:pt idx="2">
                  <c:v>1.1259760000000001</c:v>
                </c:pt>
                <c:pt idx="3">
                  <c:v>1.1375839999999999</c:v>
                </c:pt>
                <c:pt idx="4">
                  <c:v>1.149192</c:v>
                </c:pt>
                <c:pt idx="5">
                  <c:v>1.1608000000000001</c:v>
                </c:pt>
                <c:pt idx="6">
                  <c:v>1.1724080000000001</c:v>
                </c:pt>
                <c:pt idx="7">
                  <c:v>1.1840160000000002</c:v>
                </c:pt>
                <c:pt idx="8">
                  <c:v>1.195624</c:v>
                </c:pt>
                <c:pt idx="9">
                  <c:v>1.2072320000000001</c:v>
                </c:pt>
                <c:pt idx="10">
                  <c:v>1.2188400000000001</c:v>
                </c:pt>
                <c:pt idx="11">
                  <c:v>1.2304480000000002</c:v>
                </c:pt>
                <c:pt idx="12">
                  <c:v>1.242056</c:v>
                </c:pt>
              </c:numCache>
            </c:numRef>
          </c:cat>
          <c:val>
            <c:numRef>
              <c:f>'Transaction Hedging (Payables)'!$D$35:$D$47</c:f>
              <c:numCache>
                <c:formatCode>\$#,##0</c:formatCode>
                <c:ptCount val="13"/>
                <c:pt idx="0">
                  <c:v>8822080</c:v>
                </c:pt>
                <c:pt idx="1">
                  <c:v>8914944</c:v>
                </c:pt>
                <c:pt idx="2">
                  <c:v>9007808</c:v>
                </c:pt>
                <c:pt idx="3">
                  <c:v>9100672</c:v>
                </c:pt>
                <c:pt idx="4">
                  <c:v>9193536</c:v>
                </c:pt>
                <c:pt idx="5">
                  <c:v>9286400</c:v>
                </c:pt>
                <c:pt idx="6">
                  <c:v>9379264.0000000019</c:v>
                </c:pt>
                <c:pt idx="7">
                  <c:v>9472128.0000000019</c:v>
                </c:pt>
                <c:pt idx="8">
                  <c:v>9564992</c:v>
                </c:pt>
                <c:pt idx="9">
                  <c:v>9657856</c:v>
                </c:pt>
                <c:pt idx="10">
                  <c:v>9750720.0000000019</c:v>
                </c:pt>
                <c:pt idx="11">
                  <c:v>9843584.0000000019</c:v>
                </c:pt>
                <c:pt idx="12">
                  <c:v>9936448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D-E842-B4B4-3B8F6E37676A}"/>
            </c:ext>
          </c:extLst>
        </c:ser>
        <c:ser>
          <c:idx val="1"/>
          <c:order val="1"/>
          <c:tx>
            <c:v>Forward Hedge</c:v>
          </c:tx>
          <c:spPr>
            <a:ln w="2808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'Transaction Hedging (Payables)'!$C$35:$C$47</c:f>
              <c:numCache>
                <c:formatCode>0.0000</c:formatCode>
                <c:ptCount val="13"/>
                <c:pt idx="0">
                  <c:v>1.10276</c:v>
                </c:pt>
                <c:pt idx="1">
                  <c:v>1.114368</c:v>
                </c:pt>
                <c:pt idx="2">
                  <c:v>1.1259760000000001</c:v>
                </c:pt>
                <c:pt idx="3">
                  <c:v>1.1375839999999999</c:v>
                </c:pt>
                <c:pt idx="4">
                  <c:v>1.149192</c:v>
                </c:pt>
                <c:pt idx="5">
                  <c:v>1.1608000000000001</c:v>
                </c:pt>
                <c:pt idx="6">
                  <c:v>1.1724080000000001</c:v>
                </c:pt>
                <c:pt idx="7">
                  <c:v>1.1840160000000002</c:v>
                </c:pt>
                <c:pt idx="8">
                  <c:v>1.195624</c:v>
                </c:pt>
                <c:pt idx="9">
                  <c:v>1.2072320000000001</c:v>
                </c:pt>
                <c:pt idx="10">
                  <c:v>1.2188400000000001</c:v>
                </c:pt>
                <c:pt idx="11">
                  <c:v>1.2304480000000002</c:v>
                </c:pt>
                <c:pt idx="12">
                  <c:v>1.242056</c:v>
                </c:pt>
              </c:numCache>
            </c:numRef>
          </c:cat>
          <c:val>
            <c:numRef>
              <c:f>'Transaction Hedging (Payables)'!$E$35:$E$47</c:f>
              <c:numCache>
                <c:formatCode>\$#,##0</c:formatCode>
                <c:ptCount val="13"/>
                <c:pt idx="0">
                  <c:v>8712000</c:v>
                </c:pt>
                <c:pt idx="1">
                  <c:v>8712000</c:v>
                </c:pt>
                <c:pt idx="2">
                  <c:v>8712000</c:v>
                </c:pt>
                <c:pt idx="3">
                  <c:v>8712000</c:v>
                </c:pt>
                <c:pt idx="4">
                  <c:v>8712000</c:v>
                </c:pt>
                <c:pt idx="5">
                  <c:v>8712000</c:v>
                </c:pt>
                <c:pt idx="6">
                  <c:v>8712000</c:v>
                </c:pt>
                <c:pt idx="7">
                  <c:v>8712000</c:v>
                </c:pt>
                <c:pt idx="8">
                  <c:v>8712000</c:v>
                </c:pt>
                <c:pt idx="9">
                  <c:v>8712000</c:v>
                </c:pt>
                <c:pt idx="10">
                  <c:v>8712000</c:v>
                </c:pt>
                <c:pt idx="11">
                  <c:v>8712000</c:v>
                </c:pt>
                <c:pt idx="12">
                  <c:v>8712000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D-E842-B4B4-3B8F6E37676A}"/>
            </c:ext>
          </c:extLst>
        </c:ser>
        <c:ser>
          <c:idx val="2"/>
          <c:order val="2"/>
          <c:tx>
            <c:v>Money Market Hedge</c:v>
          </c:tx>
          <c:spPr>
            <a:ln w="2808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'Transaction Hedging (Payables)'!$C$35:$C$47</c:f>
              <c:numCache>
                <c:formatCode>0.0000</c:formatCode>
                <c:ptCount val="13"/>
                <c:pt idx="0">
                  <c:v>1.10276</c:v>
                </c:pt>
                <c:pt idx="1">
                  <c:v>1.114368</c:v>
                </c:pt>
                <c:pt idx="2">
                  <c:v>1.1259760000000001</c:v>
                </c:pt>
                <c:pt idx="3">
                  <c:v>1.1375839999999999</c:v>
                </c:pt>
                <c:pt idx="4">
                  <c:v>1.149192</c:v>
                </c:pt>
                <c:pt idx="5">
                  <c:v>1.1608000000000001</c:v>
                </c:pt>
                <c:pt idx="6">
                  <c:v>1.1724080000000001</c:v>
                </c:pt>
                <c:pt idx="7">
                  <c:v>1.1840160000000002</c:v>
                </c:pt>
                <c:pt idx="8">
                  <c:v>1.195624</c:v>
                </c:pt>
                <c:pt idx="9">
                  <c:v>1.2072320000000001</c:v>
                </c:pt>
                <c:pt idx="10">
                  <c:v>1.2188400000000001</c:v>
                </c:pt>
                <c:pt idx="11">
                  <c:v>1.2304480000000002</c:v>
                </c:pt>
                <c:pt idx="12">
                  <c:v>1.242056</c:v>
                </c:pt>
              </c:numCache>
            </c:numRef>
          </c:cat>
          <c:val>
            <c:numRef>
              <c:f>'Transaction Hedging (Payables)'!$F$35:$F$47</c:f>
              <c:numCache>
                <c:formatCode>\$#,##0</c:formatCode>
                <c:ptCount val="13"/>
                <c:pt idx="0">
                  <c:v>9363296.6390647832</c:v>
                </c:pt>
                <c:pt idx="1">
                  <c:v>9363296.6390647832</c:v>
                </c:pt>
                <c:pt idx="2">
                  <c:v>9363296.6390647832</c:v>
                </c:pt>
                <c:pt idx="3">
                  <c:v>9363296.6390647832</c:v>
                </c:pt>
                <c:pt idx="4">
                  <c:v>9363296.6390647832</c:v>
                </c:pt>
                <c:pt idx="5">
                  <c:v>9363296.6390647832</c:v>
                </c:pt>
                <c:pt idx="6">
                  <c:v>9363296.6390647832</c:v>
                </c:pt>
                <c:pt idx="7">
                  <c:v>9363296.6390647832</c:v>
                </c:pt>
                <c:pt idx="8">
                  <c:v>9363296.6390647832</c:v>
                </c:pt>
                <c:pt idx="9">
                  <c:v>9363296.6390647832</c:v>
                </c:pt>
                <c:pt idx="10">
                  <c:v>9363296.6390647832</c:v>
                </c:pt>
                <c:pt idx="11">
                  <c:v>9363296.6390647832</c:v>
                </c:pt>
                <c:pt idx="12">
                  <c:v>9363296.6390647832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9D-E842-B4B4-3B8F6E37676A}"/>
            </c:ext>
          </c:extLst>
        </c:ser>
        <c:ser>
          <c:idx val="3"/>
          <c:order val="3"/>
          <c:tx>
            <c:v>Call Option Hedge</c:v>
          </c:tx>
          <c:spPr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'Transaction Hedging (Payables)'!$C$35:$C$47</c:f>
              <c:numCache>
                <c:formatCode>0.0000</c:formatCode>
                <c:ptCount val="13"/>
                <c:pt idx="0">
                  <c:v>1.10276</c:v>
                </c:pt>
                <c:pt idx="1">
                  <c:v>1.114368</c:v>
                </c:pt>
                <c:pt idx="2">
                  <c:v>1.1259760000000001</c:v>
                </c:pt>
                <c:pt idx="3">
                  <c:v>1.1375839999999999</c:v>
                </c:pt>
                <c:pt idx="4">
                  <c:v>1.149192</c:v>
                </c:pt>
                <c:pt idx="5">
                  <c:v>1.1608000000000001</c:v>
                </c:pt>
                <c:pt idx="6">
                  <c:v>1.1724080000000001</c:v>
                </c:pt>
                <c:pt idx="7">
                  <c:v>1.1840160000000002</c:v>
                </c:pt>
                <c:pt idx="8">
                  <c:v>1.195624</c:v>
                </c:pt>
                <c:pt idx="9">
                  <c:v>1.2072320000000001</c:v>
                </c:pt>
                <c:pt idx="10">
                  <c:v>1.2188400000000001</c:v>
                </c:pt>
                <c:pt idx="11">
                  <c:v>1.2304480000000002</c:v>
                </c:pt>
                <c:pt idx="12">
                  <c:v>1.242056</c:v>
                </c:pt>
              </c:numCache>
            </c:numRef>
          </c:cat>
          <c:val>
            <c:numRef>
              <c:f>'Transaction Hedging (Payables)'!$G$35:$G$47</c:f>
              <c:numCache>
                <c:formatCode>\$#,##0</c:formatCode>
                <c:ptCount val="13"/>
                <c:pt idx="0">
                  <c:v>9037360</c:v>
                </c:pt>
                <c:pt idx="1">
                  <c:v>9130224</c:v>
                </c:pt>
                <c:pt idx="2">
                  <c:v>9223088</c:v>
                </c:pt>
                <c:pt idx="3">
                  <c:v>9315952</c:v>
                </c:pt>
                <c:pt idx="4">
                  <c:v>9408816</c:v>
                </c:pt>
                <c:pt idx="5">
                  <c:v>9501680</c:v>
                </c:pt>
                <c:pt idx="6">
                  <c:v>9501680.0000000019</c:v>
                </c:pt>
                <c:pt idx="7">
                  <c:v>9501680</c:v>
                </c:pt>
                <c:pt idx="8">
                  <c:v>9501680</c:v>
                </c:pt>
                <c:pt idx="9">
                  <c:v>9501680</c:v>
                </c:pt>
                <c:pt idx="10">
                  <c:v>9501680.0000000019</c:v>
                </c:pt>
                <c:pt idx="11">
                  <c:v>9501680</c:v>
                </c:pt>
                <c:pt idx="12">
                  <c:v>9501680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9D-E842-B4B4-3B8F6E376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0113487"/>
        <c:axId val="59088214"/>
      </c:lineChart>
      <c:catAx>
        <c:axId val="501134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EUR/USD Spot Rate at Maturity  (S_T)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59088214"/>
        <c:crosses val="autoZero"/>
        <c:auto val="1"/>
        <c:lblAlgn val="ctr"/>
        <c:lblOffset val="100"/>
        <c:noMultiLvlLbl val="0"/>
      </c:catAx>
      <c:valAx>
        <c:axId val="590882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USD Cost at Maturity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501134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10</xdr:col>
      <xdr:colOff>2325600</xdr:colOff>
      <xdr:row>67</xdr:row>
      <xdr:rowOff>285480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10</xdr:col>
      <xdr:colOff>1738440</xdr:colOff>
      <xdr:row>67</xdr:row>
      <xdr:rowOff>285480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14"/>
  <sheetViews>
    <sheetView zoomScale="66" zoomScaleNormal="66" workbookViewId="0">
      <selection activeCell="F18" sqref="F18"/>
    </sheetView>
  </sheetViews>
  <sheetFormatPr baseColWidth="10" defaultColWidth="12.6640625" defaultRowHeight="13" x14ac:dyDescent="0.15"/>
  <cols>
    <col min="1" max="1" width="3" customWidth="1"/>
    <col min="2" max="2" width="4.5" customWidth="1"/>
    <col min="3" max="3" width="43.6640625" customWidth="1"/>
    <col min="4" max="4" width="33.5" customWidth="1"/>
    <col min="5" max="5" width="26.1640625" customWidth="1"/>
    <col min="6" max="6" width="34.33203125" customWidth="1"/>
    <col min="7" max="7" width="31.33203125" customWidth="1"/>
    <col min="8" max="8" width="48.5" customWidth="1"/>
    <col min="9" max="9" width="34.33203125" customWidth="1"/>
    <col min="10" max="10" width="24" customWidth="1"/>
    <col min="11" max="11" width="33" customWidth="1"/>
    <col min="12" max="12" width="33.1640625" customWidth="1"/>
    <col min="13" max="13" width="39.6640625" customWidth="1"/>
  </cols>
  <sheetData>
    <row r="1" spans="1:30" ht="22.5" customHeight="1" x14ac:dyDescent="0.1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ht="22.5" customHeight="1" x14ac:dyDescent="0.15">
      <c r="A2" s="15"/>
      <c r="B2" s="16"/>
      <c r="C2" s="17" t="s">
        <v>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ht="22.5" customHeight="1" x14ac:dyDescent="0.15">
      <c r="A3" s="15"/>
      <c r="B3" s="16"/>
      <c r="C3" s="14" t="s">
        <v>1</v>
      </c>
      <c r="D3" s="14"/>
      <c r="E3" s="14"/>
      <c r="F3" s="14"/>
      <c r="G3" s="14"/>
      <c r="H3" s="14"/>
      <c r="I3" s="14"/>
      <c r="J3" s="14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 ht="22.5" customHeight="1" x14ac:dyDescent="0.15">
      <c r="A4" s="15"/>
      <c r="B4" s="16"/>
      <c r="C4" s="18"/>
      <c r="D4" s="18"/>
      <c r="E4" s="18"/>
      <c r="F4" s="18"/>
      <c r="G4" s="16"/>
      <c r="H4" s="18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 ht="22.5" customHeight="1" x14ac:dyDescent="0.25">
      <c r="A5" s="15"/>
      <c r="B5" s="19"/>
      <c r="C5" s="13" t="s">
        <v>2</v>
      </c>
      <c r="D5" s="13"/>
      <c r="E5" s="13"/>
      <c r="F5" s="20" t="s">
        <v>3</v>
      </c>
      <c r="G5" s="21"/>
      <c r="H5" s="22" t="s">
        <v>4</v>
      </c>
      <c r="I5" s="23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0" ht="22.5" customHeight="1" x14ac:dyDescent="0.25">
      <c r="A6" s="15"/>
      <c r="B6" s="19"/>
      <c r="C6" s="24" t="s">
        <v>5</v>
      </c>
      <c r="D6" s="25"/>
      <c r="E6" s="25"/>
      <c r="F6" s="26">
        <v>8000000</v>
      </c>
      <c r="G6" s="27"/>
      <c r="H6" s="28" t="s">
        <v>6</v>
      </c>
      <c r="I6" s="29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 spans="1:30" ht="22.5" customHeight="1" x14ac:dyDescent="0.25">
      <c r="A7" s="15"/>
      <c r="B7" s="19"/>
      <c r="C7" s="24" t="s">
        <v>7</v>
      </c>
      <c r="D7" s="30"/>
      <c r="E7" s="30"/>
      <c r="F7" s="31">
        <v>1.1608000000000001</v>
      </c>
      <c r="G7" s="32"/>
      <c r="H7" s="33" t="s">
        <v>8</v>
      </c>
      <c r="I7" s="23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spans="1:30" ht="22.5" customHeight="1" x14ac:dyDescent="0.15">
      <c r="A8" s="15"/>
      <c r="B8" s="19"/>
      <c r="C8" s="34" t="s">
        <v>9</v>
      </c>
      <c r="D8" s="35"/>
      <c r="E8" s="35"/>
      <c r="F8" s="36"/>
      <c r="G8" s="23"/>
      <c r="H8" s="37" t="s">
        <v>10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spans="1:30" ht="22.5" customHeight="1" x14ac:dyDescent="0.15">
      <c r="A9" s="15"/>
      <c r="B9" s="19"/>
      <c r="C9" s="24" t="s">
        <v>11</v>
      </c>
      <c r="D9" s="35"/>
      <c r="E9" s="35"/>
      <c r="F9" s="38">
        <v>3.5000000000000003E-2</v>
      </c>
      <c r="G9" s="23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0" ht="22.5" customHeight="1" x14ac:dyDescent="0.15">
      <c r="A10" s="15"/>
      <c r="B10" s="19"/>
      <c r="C10" s="24" t="s">
        <v>12</v>
      </c>
      <c r="D10" s="35"/>
      <c r="E10" s="35"/>
      <c r="F10" s="38">
        <v>2.6499999999999999E-2</v>
      </c>
      <c r="G10" s="39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spans="1:30" ht="22.5" customHeight="1" x14ac:dyDescent="0.15">
      <c r="A11" s="15"/>
      <c r="B11" s="19"/>
      <c r="C11" s="34" t="s">
        <v>13</v>
      </c>
      <c r="D11" s="30"/>
      <c r="E11" s="30"/>
      <c r="F11" s="40"/>
      <c r="G11" s="23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spans="1:30" ht="22.5" customHeight="1" x14ac:dyDescent="0.15">
      <c r="A12" s="15"/>
      <c r="B12" s="19"/>
      <c r="C12" s="24" t="s">
        <v>14</v>
      </c>
      <c r="D12" s="30"/>
      <c r="E12" s="30"/>
      <c r="F12" s="31">
        <v>1.089</v>
      </c>
      <c r="G12" s="23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1:30" ht="22.5" customHeight="1" x14ac:dyDescent="0.15">
      <c r="A13" s="15"/>
      <c r="B13" s="19"/>
      <c r="C13" s="34" t="s">
        <v>15</v>
      </c>
      <c r="D13" s="16"/>
      <c r="E13" s="16"/>
      <c r="F13" s="41"/>
      <c r="G13" s="23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30" ht="22.5" customHeight="1" x14ac:dyDescent="0.25">
      <c r="A14" s="15"/>
      <c r="B14" s="19"/>
      <c r="C14" s="42" t="s">
        <v>16</v>
      </c>
      <c r="D14" s="43"/>
      <c r="E14" s="43"/>
      <c r="F14" s="44">
        <v>1.1608000000000001</v>
      </c>
      <c r="G14" s="23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spans="1:30" ht="22.5" customHeight="1" x14ac:dyDescent="0.25">
      <c r="A15" s="15"/>
      <c r="B15" s="19"/>
      <c r="C15" s="45" t="s">
        <v>17</v>
      </c>
      <c r="D15" s="46"/>
      <c r="E15" s="46"/>
      <c r="F15" s="47">
        <v>2.1000000000000001E-2</v>
      </c>
      <c r="G15" s="23"/>
      <c r="H15" s="48"/>
      <c r="I15" s="16"/>
      <c r="J15" s="48"/>
      <c r="K15" s="48"/>
      <c r="L15" s="48"/>
      <c r="M15" s="48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spans="1:30" ht="22.5" customHeight="1" x14ac:dyDescent="0.25">
      <c r="A16" s="15"/>
      <c r="B16" s="16"/>
      <c r="C16" s="49" t="s">
        <v>18</v>
      </c>
      <c r="D16" s="50"/>
      <c r="E16" s="50"/>
      <c r="F16" s="51">
        <v>365</v>
      </c>
      <c r="G16" s="52"/>
      <c r="H16" s="53" t="s">
        <v>6</v>
      </c>
      <c r="I16" s="18"/>
      <c r="J16" s="54"/>
      <c r="K16" s="4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spans="1:30" ht="22.5" customHeight="1" x14ac:dyDescent="0.25">
      <c r="A17" s="15"/>
      <c r="B17" s="19"/>
      <c r="C17" s="12" t="s">
        <v>19</v>
      </c>
      <c r="D17" s="12"/>
      <c r="E17" s="12"/>
      <c r="F17" s="12"/>
      <c r="G17" s="12"/>
      <c r="H17" s="12"/>
      <c r="I17" s="12"/>
      <c r="J17" s="12"/>
      <c r="K17" s="23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spans="1:30" ht="22.5" customHeight="1" x14ac:dyDescent="0.15">
      <c r="A18" s="15"/>
      <c r="B18" s="19"/>
      <c r="C18" s="11" t="s">
        <v>20</v>
      </c>
      <c r="D18" s="11"/>
      <c r="E18" s="11"/>
      <c r="F18" s="56">
        <f>F6*for_GBPUSD</f>
        <v>8712000</v>
      </c>
      <c r="G18" s="10" t="s">
        <v>21</v>
      </c>
      <c r="H18" s="10"/>
      <c r="I18" s="10"/>
      <c r="J18" s="10"/>
      <c r="K18" s="23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spans="1:30" ht="22.5" customHeight="1" x14ac:dyDescent="0.15">
      <c r="A19" s="15"/>
      <c r="B19" s="16"/>
      <c r="C19" s="50"/>
      <c r="D19" s="50"/>
      <c r="E19" s="50"/>
      <c r="F19" s="50"/>
      <c r="G19" s="57"/>
      <c r="H19" s="50"/>
      <c r="I19" s="50"/>
      <c r="J19" s="50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ht="22.5" customHeight="1" x14ac:dyDescent="0.15">
      <c r="A20" s="15"/>
      <c r="B20" s="19"/>
      <c r="C20" s="9" t="s">
        <v>22</v>
      </c>
      <c r="D20" s="9"/>
      <c r="E20" s="9"/>
      <c r="F20" s="9"/>
      <c r="G20" s="9"/>
      <c r="H20" s="9"/>
      <c r="I20" s="9"/>
      <c r="J20" s="9"/>
      <c r="K20" s="23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spans="1:30" ht="22.5" customHeight="1" x14ac:dyDescent="0.15">
      <c r="A21" s="15"/>
      <c r="B21" s="19"/>
      <c r="C21" s="8" t="s">
        <v>23</v>
      </c>
      <c r="D21" s="8"/>
      <c r="E21" s="8"/>
      <c r="F21" s="58">
        <f>F6/(1+F10)</f>
        <v>7793472.9663906479</v>
      </c>
      <c r="G21" s="7"/>
      <c r="H21" s="7"/>
      <c r="I21" s="7"/>
      <c r="J21" s="7"/>
      <c r="K21" s="23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 spans="1:30" ht="22.5" customHeight="1" x14ac:dyDescent="0.15">
      <c r="A22" s="15"/>
      <c r="B22" s="19"/>
      <c r="C22" s="8" t="s">
        <v>24</v>
      </c>
      <c r="D22" s="8"/>
      <c r="E22" s="8"/>
      <c r="F22" s="60">
        <f>F21*F7</f>
        <v>9046663.4193862639</v>
      </c>
      <c r="G22" s="7"/>
      <c r="H22" s="7"/>
      <c r="I22" s="7"/>
      <c r="J22" s="7"/>
      <c r="K22" s="23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ht="22.5" customHeight="1" x14ac:dyDescent="0.15">
      <c r="A23" s="15"/>
      <c r="B23" s="19"/>
      <c r="C23" s="8" t="s">
        <v>25</v>
      </c>
      <c r="D23" s="8"/>
      <c r="E23" s="8"/>
      <c r="F23" s="60">
        <f>F22*(1+F9)</f>
        <v>9363296.6390647832</v>
      </c>
      <c r="G23" s="7"/>
      <c r="H23" s="7"/>
      <c r="I23" s="7"/>
      <c r="J23" s="7"/>
      <c r="K23" s="23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spans="1:30" ht="22.5" customHeight="1" x14ac:dyDescent="0.15">
      <c r="A24" s="15"/>
      <c r="B24" s="19"/>
      <c r="C24" s="55"/>
      <c r="D24" s="61"/>
      <c r="E24" s="61"/>
      <c r="F24" s="56">
        <f>F23</f>
        <v>9363296.6390647832</v>
      </c>
      <c r="G24" s="10" t="s">
        <v>21</v>
      </c>
      <c r="H24" s="10"/>
      <c r="I24" s="10"/>
      <c r="J24" s="10"/>
      <c r="K24" s="23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ht="22.5" customHeight="1" x14ac:dyDescent="0.15">
      <c r="A25" s="15"/>
      <c r="B25" s="16"/>
      <c r="C25" s="50"/>
      <c r="D25" s="50"/>
      <c r="E25" s="50"/>
      <c r="F25" s="50"/>
      <c r="G25" s="57"/>
      <c r="H25" s="50"/>
      <c r="I25" s="50"/>
      <c r="J25" s="50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spans="1:30" ht="22.5" customHeight="1" x14ac:dyDescent="0.15">
      <c r="A26" s="15"/>
      <c r="B26" s="19"/>
      <c r="C26" s="9" t="s">
        <v>26</v>
      </c>
      <c r="D26" s="9"/>
      <c r="E26" s="9"/>
      <c r="F26" s="9"/>
      <c r="G26" s="9"/>
      <c r="H26" s="9"/>
      <c r="I26" s="9"/>
      <c r="J26" s="9"/>
      <c r="K26" s="23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0" ht="22.5" customHeight="1" x14ac:dyDescent="0.25">
      <c r="A27" s="15"/>
      <c r="B27" s="19"/>
      <c r="C27" s="8" t="s">
        <v>27</v>
      </c>
      <c r="D27" s="8"/>
      <c r="E27" s="8"/>
      <c r="F27" s="62">
        <f>-put_price*recievable</f>
        <v>-168000</v>
      </c>
      <c r="G27" s="63">
        <f>-put_price*recievable</f>
        <v>-168000</v>
      </c>
      <c r="H27" s="16"/>
      <c r="I27" s="16"/>
      <c r="J27" s="59"/>
      <c r="K27" s="23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spans="1:30" ht="22.5" customHeight="1" x14ac:dyDescent="0.25">
      <c r="A28" s="15"/>
      <c r="B28" s="19"/>
      <c r="C28" s="8" t="s">
        <v>28</v>
      </c>
      <c r="D28" s="8"/>
      <c r="E28" s="8"/>
      <c r="F28" s="60">
        <f>F27*(1+F9)</f>
        <v>-173880</v>
      </c>
      <c r="G28" s="48"/>
      <c r="H28" s="16"/>
      <c r="I28" s="16"/>
      <c r="J28" s="59"/>
      <c r="K28" s="23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spans="1:30" ht="22.5" customHeight="1" x14ac:dyDescent="0.15">
      <c r="A29" s="15"/>
      <c r="B29" s="19"/>
      <c r="C29" s="55"/>
      <c r="D29" s="64"/>
      <c r="E29" s="64"/>
      <c r="F29" s="65">
        <f>MIN(G33:G45)</f>
        <v>9112520</v>
      </c>
      <c r="G29" s="10" t="s">
        <v>29</v>
      </c>
      <c r="H29" s="10"/>
      <c r="I29" s="10"/>
      <c r="J29" s="10"/>
      <c r="K29" s="23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spans="1:30" ht="22.5" customHeight="1" x14ac:dyDescent="0.15">
      <c r="A30" s="15"/>
      <c r="B30" s="16"/>
      <c r="C30" s="66"/>
      <c r="D30" s="50"/>
      <c r="E30" s="50"/>
      <c r="F30" s="50"/>
      <c r="G30" s="57"/>
      <c r="H30" s="66"/>
      <c r="I30" s="66"/>
      <c r="J30" s="6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 spans="1:30" ht="22.5" customHeight="1" x14ac:dyDescent="0.15">
      <c r="A31" s="15"/>
      <c r="B31" s="19"/>
      <c r="C31" s="6" t="s">
        <v>30</v>
      </c>
      <c r="D31" s="5" t="s">
        <v>31</v>
      </c>
      <c r="E31" s="5"/>
      <c r="F31" s="5"/>
      <c r="G31" s="5"/>
      <c r="H31" s="4" t="s">
        <v>32</v>
      </c>
      <c r="I31" s="4"/>
      <c r="J31" s="4"/>
      <c r="K31" s="5" t="s">
        <v>33</v>
      </c>
      <c r="L31" s="5"/>
      <c r="M31" s="2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 ht="22.5" customHeight="1" x14ac:dyDescent="0.15">
      <c r="A32" s="15"/>
      <c r="B32" s="19"/>
      <c r="C32" s="6"/>
      <c r="D32" s="67" t="s">
        <v>34</v>
      </c>
      <c r="E32" s="68" t="s">
        <v>19</v>
      </c>
      <c r="F32" s="69" t="s">
        <v>22</v>
      </c>
      <c r="G32" s="70" t="s">
        <v>26</v>
      </c>
      <c r="H32" s="71" t="s">
        <v>35</v>
      </c>
      <c r="I32" s="72" t="s">
        <v>22</v>
      </c>
      <c r="J32" s="73" t="s">
        <v>26</v>
      </c>
      <c r="K32" s="67" t="s">
        <v>36</v>
      </c>
      <c r="L32" s="74" t="s">
        <v>37</v>
      </c>
      <c r="M32" s="23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spans="1:30" ht="22.5" customHeight="1" x14ac:dyDescent="0.25">
      <c r="A33" s="75"/>
      <c r="B33" s="3" t="s">
        <v>38</v>
      </c>
      <c r="C33" s="76">
        <f>$F$7*0.95</f>
        <v>1.10276</v>
      </c>
      <c r="D33" s="77">
        <f t="shared" ref="D33:D45" si="0">C33*$F$6</f>
        <v>8822080</v>
      </c>
      <c r="E33" s="78">
        <f t="shared" ref="E33:E45" si="1">$D33+($F$12-C33)*$F$6</f>
        <v>8712000</v>
      </c>
      <c r="F33" s="79">
        <f t="shared" ref="F33:F45" si="2">$F$24</f>
        <v>9363296.6390647832</v>
      </c>
      <c r="G33" s="80">
        <f>hedge_no+J33</f>
        <v>9112520</v>
      </c>
      <c r="H33" s="81">
        <f t="shared" ref="H33:H45" si="3">($F$12-C33)*$F$6</f>
        <v>-110079.99999999996</v>
      </c>
      <c r="I33" s="82">
        <f t="shared" ref="I33:I45" si="4">$F$24-D33</f>
        <v>541216.63906478323</v>
      </c>
      <c r="J33" s="83">
        <f t="shared" ref="J33:J45" si="5">$F$28+MAX(0,($F$14-C33)*$F$6)</f>
        <v>290440.00000000076</v>
      </c>
      <c r="K33" s="84" t="str">
        <f t="shared" ref="K33:K45" si="6">IF(E33= MAX(D33,E33,F33,G33),$E$32,IF(F33= MAX(D33,E33,F33,G33),$F$32,IF(G33= MAX(D33,E33,F33,G33),$G$32,$D$32)))</f>
        <v>2. Money Market Hedge</v>
      </c>
      <c r="L33" s="85" t="str">
        <f t="shared" ref="L33:L45" si="7">IF(E33= MAX(E33,F33,G33),$E$32,IF(F33= MAX(E33,F33,G33),$F$32,$G$32))</f>
        <v>2. Money Market Hedge</v>
      </c>
      <c r="M33" s="23" t="s">
        <v>39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spans="1:30" ht="27.75" customHeight="1" x14ac:dyDescent="0.25">
      <c r="A34" s="75"/>
      <c r="B34" s="3"/>
      <c r="C34" s="86">
        <f>$F$7*0.96</f>
        <v>1.114368</v>
      </c>
      <c r="D34" s="87">
        <f t="shared" si="0"/>
        <v>8914944</v>
      </c>
      <c r="E34" s="88">
        <f t="shared" si="1"/>
        <v>8712000</v>
      </c>
      <c r="F34" s="89">
        <f t="shared" si="2"/>
        <v>9363296.6390647832</v>
      </c>
      <c r="G34" s="90">
        <f t="shared" ref="G34:G45" si="8">$D34+J34</f>
        <v>9112520</v>
      </c>
      <c r="H34" s="91">
        <f t="shared" si="3"/>
        <v>-202944.00000000047</v>
      </c>
      <c r="I34" s="92">
        <f t="shared" si="4"/>
        <v>448352.63906478323</v>
      </c>
      <c r="J34" s="83">
        <f t="shared" si="5"/>
        <v>197576.00000000023</v>
      </c>
      <c r="K34" s="93" t="str">
        <f t="shared" si="6"/>
        <v>2. Money Market Hedge</v>
      </c>
      <c r="L34" s="94" t="str">
        <f t="shared" si="7"/>
        <v>2. Money Market Hedge</v>
      </c>
      <c r="M34" s="95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spans="1:30" ht="22.5" customHeight="1" x14ac:dyDescent="0.25">
      <c r="A35" s="75"/>
      <c r="B35" s="3"/>
      <c r="C35" s="86">
        <f>$F$7*0.97</f>
        <v>1.1259760000000001</v>
      </c>
      <c r="D35" s="87">
        <f t="shared" si="0"/>
        <v>9007808</v>
      </c>
      <c r="E35" s="88">
        <f t="shared" si="1"/>
        <v>8712000</v>
      </c>
      <c r="F35" s="89">
        <f t="shared" si="2"/>
        <v>9363296.6390647832</v>
      </c>
      <c r="G35" s="90">
        <f t="shared" si="8"/>
        <v>9112520</v>
      </c>
      <c r="H35" s="91">
        <f t="shared" si="3"/>
        <v>-295808.00000000093</v>
      </c>
      <c r="I35" s="92">
        <f t="shared" si="4"/>
        <v>355488.63906478323</v>
      </c>
      <c r="J35" s="83">
        <f t="shared" si="5"/>
        <v>104711.99999999971</v>
      </c>
      <c r="K35" s="93" t="str">
        <f t="shared" si="6"/>
        <v>2. Money Market Hedge</v>
      </c>
      <c r="L35" s="94" t="str">
        <f t="shared" si="7"/>
        <v>2. Money Market Hedge</v>
      </c>
      <c r="M35" s="23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spans="1:30" ht="22.5" customHeight="1" x14ac:dyDescent="0.25">
      <c r="A36" s="75"/>
      <c r="B36" s="3"/>
      <c r="C36" s="86">
        <f>$F$7*0.98</f>
        <v>1.1375839999999999</v>
      </c>
      <c r="D36" s="87">
        <f t="shared" si="0"/>
        <v>9100672</v>
      </c>
      <c r="E36" s="88">
        <f t="shared" si="1"/>
        <v>8712000</v>
      </c>
      <c r="F36" s="89">
        <f t="shared" si="2"/>
        <v>9363296.6390647832</v>
      </c>
      <c r="G36" s="90">
        <f t="shared" si="8"/>
        <v>9112520.0000000019</v>
      </c>
      <c r="H36" s="91">
        <f t="shared" si="3"/>
        <v>-388671.99999999971</v>
      </c>
      <c r="I36" s="92">
        <f t="shared" si="4"/>
        <v>262624.63906478323</v>
      </c>
      <c r="J36" s="83">
        <f t="shared" si="5"/>
        <v>11848.00000000099</v>
      </c>
      <c r="K36" s="93" t="str">
        <f t="shared" si="6"/>
        <v>2. Money Market Hedge</v>
      </c>
      <c r="L36" s="94" t="str">
        <f t="shared" si="7"/>
        <v>2. Money Market Hedge</v>
      </c>
      <c r="M36" s="23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 spans="1:30" ht="22.5" customHeight="1" x14ac:dyDescent="0.25">
      <c r="A37" s="75"/>
      <c r="B37" s="3"/>
      <c r="C37" s="86">
        <f>$F$7*0.99</f>
        <v>1.149192</v>
      </c>
      <c r="D37" s="87">
        <f t="shared" si="0"/>
        <v>9193536</v>
      </c>
      <c r="E37" s="88">
        <f t="shared" si="1"/>
        <v>8712000</v>
      </c>
      <c r="F37" s="89">
        <f t="shared" si="2"/>
        <v>9363296.6390647832</v>
      </c>
      <c r="G37" s="90">
        <f t="shared" si="8"/>
        <v>9112520</v>
      </c>
      <c r="H37" s="91">
        <f t="shared" si="3"/>
        <v>-481536.00000000017</v>
      </c>
      <c r="I37" s="92">
        <f t="shared" si="4"/>
        <v>169760.63906478323</v>
      </c>
      <c r="J37" s="83">
        <f t="shared" si="5"/>
        <v>-81015.999999999505</v>
      </c>
      <c r="K37" s="93" t="str">
        <f t="shared" si="6"/>
        <v>2. Money Market Hedge</v>
      </c>
      <c r="L37" s="94" t="str">
        <f t="shared" si="7"/>
        <v>2. Money Market Hedge</v>
      </c>
      <c r="M37" s="23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 spans="1:30" ht="22.5" customHeight="1" x14ac:dyDescent="0.25">
      <c r="A38" s="75"/>
      <c r="B38" s="3"/>
      <c r="C38" s="86">
        <f>$F$7*1</f>
        <v>1.1608000000000001</v>
      </c>
      <c r="D38" s="87">
        <f t="shared" si="0"/>
        <v>9286400</v>
      </c>
      <c r="E38" s="88">
        <f t="shared" si="1"/>
        <v>8712000</v>
      </c>
      <c r="F38" s="89">
        <f t="shared" si="2"/>
        <v>9363296.6390647832</v>
      </c>
      <c r="G38" s="90">
        <f t="shared" si="8"/>
        <v>9112520</v>
      </c>
      <c r="H38" s="91">
        <f t="shared" si="3"/>
        <v>-574400.0000000007</v>
      </c>
      <c r="I38" s="92">
        <f t="shared" si="4"/>
        <v>76896.63906478323</v>
      </c>
      <c r="J38" s="83">
        <f t="shared" si="5"/>
        <v>-173880</v>
      </c>
      <c r="K38" s="93" t="str">
        <f t="shared" si="6"/>
        <v>2. Money Market Hedge</v>
      </c>
      <c r="L38" s="94" t="str">
        <f t="shared" si="7"/>
        <v>2. Money Market Hedge</v>
      </c>
      <c r="M38" s="23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 spans="1:30" ht="22.5" customHeight="1" x14ac:dyDescent="0.25">
      <c r="A39" s="75"/>
      <c r="B39" s="3"/>
      <c r="C39" s="86">
        <f>$F$7*1.01</f>
        <v>1.1724080000000001</v>
      </c>
      <c r="D39" s="87">
        <f t="shared" si="0"/>
        <v>9379264.0000000019</v>
      </c>
      <c r="E39" s="88">
        <f t="shared" si="1"/>
        <v>8712000</v>
      </c>
      <c r="F39" s="89">
        <f t="shared" si="2"/>
        <v>9363296.6390647832</v>
      </c>
      <c r="G39" s="90">
        <f t="shared" si="8"/>
        <v>9205384.0000000019</v>
      </c>
      <c r="H39" s="91">
        <f t="shared" si="3"/>
        <v>-667264.00000000116</v>
      </c>
      <c r="I39" s="92">
        <f t="shared" si="4"/>
        <v>-15967.360935218632</v>
      </c>
      <c r="J39" s="83">
        <f t="shared" si="5"/>
        <v>-173880</v>
      </c>
      <c r="K39" s="93" t="str">
        <f t="shared" si="6"/>
        <v>0. No Hedge</v>
      </c>
      <c r="L39" s="94" t="str">
        <f t="shared" si="7"/>
        <v>2. Money Market Hedge</v>
      </c>
      <c r="M39" s="23" t="s">
        <v>40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 spans="1:30" ht="22.5" customHeight="1" x14ac:dyDescent="0.25">
      <c r="A40" s="75"/>
      <c r="B40" s="3"/>
      <c r="C40" s="86">
        <f>$F$7*1.02</f>
        <v>1.1840160000000002</v>
      </c>
      <c r="D40" s="87">
        <f t="shared" si="0"/>
        <v>9472128.0000000019</v>
      </c>
      <c r="E40" s="88">
        <f t="shared" si="1"/>
        <v>8712000</v>
      </c>
      <c r="F40" s="89">
        <f t="shared" si="2"/>
        <v>9363296.6390647832</v>
      </c>
      <c r="G40" s="90">
        <f t="shared" si="8"/>
        <v>9298248.0000000019</v>
      </c>
      <c r="H40" s="91">
        <f t="shared" si="3"/>
        <v>-760128.00000000175</v>
      </c>
      <c r="I40" s="92">
        <f t="shared" si="4"/>
        <v>-108831.36093521863</v>
      </c>
      <c r="J40" s="83">
        <f t="shared" si="5"/>
        <v>-173880</v>
      </c>
      <c r="K40" s="93" t="str">
        <f t="shared" si="6"/>
        <v>0. No Hedge</v>
      </c>
      <c r="L40" s="94" t="str">
        <f t="shared" si="7"/>
        <v>2. Money Market Hedge</v>
      </c>
      <c r="M40" s="23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spans="1:30" ht="22.5" customHeight="1" x14ac:dyDescent="0.25">
      <c r="A41" s="75"/>
      <c r="B41" s="3"/>
      <c r="C41" s="86">
        <f>$F$7*1.03</f>
        <v>1.195624</v>
      </c>
      <c r="D41" s="87">
        <f t="shared" si="0"/>
        <v>9564992</v>
      </c>
      <c r="E41" s="88">
        <f t="shared" si="1"/>
        <v>8712000</v>
      </c>
      <c r="F41" s="89">
        <f t="shared" si="2"/>
        <v>9363296.6390647832</v>
      </c>
      <c r="G41" s="90">
        <f t="shared" si="8"/>
        <v>9391112</v>
      </c>
      <c r="H41" s="91">
        <f t="shared" si="3"/>
        <v>-852992.00000000047</v>
      </c>
      <c r="I41" s="92">
        <f t="shared" si="4"/>
        <v>-201695.36093521677</v>
      </c>
      <c r="J41" s="83">
        <f t="shared" si="5"/>
        <v>-173880</v>
      </c>
      <c r="K41" s="93" t="str">
        <f t="shared" si="6"/>
        <v>0. No Hedge</v>
      </c>
      <c r="L41" s="94" t="str">
        <f t="shared" si="7"/>
        <v>3. Option Hedge</v>
      </c>
      <c r="M41" s="23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 spans="1:30" ht="22.5" customHeight="1" x14ac:dyDescent="0.25">
      <c r="A42" s="75"/>
      <c r="B42" s="3"/>
      <c r="C42" s="86">
        <f>$F$7*1.04</f>
        <v>1.2072320000000001</v>
      </c>
      <c r="D42" s="87">
        <f t="shared" si="0"/>
        <v>9657856</v>
      </c>
      <c r="E42" s="88">
        <f t="shared" si="1"/>
        <v>8712000</v>
      </c>
      <c r="F42" s="89">
        <f t="shared" si="2"/>
        <v>9363296.6390647832</v>
      </c>
      <c r="G42" s="90">
        <f t="shared" si="8"/>
        <v>9483976</v>
      </c>
      <c r="H42" s="91">
        <f t="shared" si="3"/>
        <v>-945856.00000000093</v>
      </c>
      <c r="I42" s="92">
        <f t="shared" si="4"/>
        <v>-294559.36093521677</v>
      </c>
      <c r="J42" s="83">
        <f t="shared" si="5"/>
        <v>-173880</v>
      </c>
      <c r="K42" s="93" t="str">
        <f t="shared" si="6"/>
        <v>0. No Hedge</v>
      </c>
      <c r="L42" s="96" t="str">
        <f t="shared" si="7"/>
        <v>3. Option Hedge</v>
      </c>
      <c r="M42" s="23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 spans="1:30" ht="22.5" customHeight="1" x14ac:dyDescent="0.25">
      <c r="A43" s="75"/>
      <c r="B43" s="3"/>
      <c r="C43" s="86">
        <f>$F$7*1.05</f>
        <v>1.2188400000000001</v>
      </c>
      <c r="D43" s="87">
        <f t="shared" si="0"/>
        <v>9750720.0000000019</v>
      </c>
      <c r="E43" s="88">
        <f t="shared" si="1"/>
        <v>8712000</v>
      </c>
      <c r="F43" s="89">
        <f t="shared" si="2"/>
        <v>9363296.6390647832</v>
      </c>
      <c r="G43" s="90">
        <f t="shared" si="8"/>
        <v>9576840.0000000019</v>
      </c>
      <c r="H43" s="91">
        <f t="shared" si="3"/>
        <v>-1038720.0000000014</v>
      </c>
      <c r="I43" s="92">
        <f t="shared" si="4"/>
        <v>-387423.36093521863</v>
      </c>
      <c r="J43" s="83">
        <f t="shared" si="5"/>
        <v>-173880</v>
      </c>
      <c r="K43" s="93" t="str">
        <f t="shared" si="6"/>
        <v>0. No Hedge</v>
      </c>
      <c r="L43" s="96" t="str">
        <f t="shared" si="7"/>
        <v>3. Option Hedge</v>
      </c>
      <c r="M43" s="23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 spans="1:30" ht="22.5" customHeight="1" x14ac:dyDescent="0.25">
      <c r="A44" s="75"/>
      <c r="B44" s="3"/>
      <c r="C44" s="86">
        <f>$F$7*1.06</f>
        <v>1.2304480000000002</v>
      </c>
      <c r="D44" s="87">
        <f t="shared" si="0"/>
        <v>9843584.0000000019</v>
      </c>
      <c r="E44" s="88">
        <f t="shared" si="1"/>
        <v>8712000</v>
      </c>
      <c r="F44" s="89">
        <f t="shared" si="2"/>
        <v>9363296.6390647832</v>
      </c>
      <c r="G44" s="90">
        <f t="shared" si="8"/>
        <v>9669704.0000000019</v>
      </c>
      <c r="H44" s="91">
        <f t="shared" si="3"/>
        <v>-1131584.0000000019</v>
      </c>
      <c r="I44" s="92">
        <f t="shared" si="4"/>
        <v>-480287.36093521863</v>
      </c>
      <c r="J44" s="83">
        <f t="shared" si="5"/>
        <v>-173880</v>
      </c>
      <c r="K44" s="93" t="str">
        <f t="shared" si="6"/>
        <v>0. No Hedge</v>
      </c>
      <c r="L44" s="96" t="str">
        <f t="shared" si="7"/>
        <v>3. Option Hedge</v>
      </c>
      <c r="M44" s="23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1:30" ht="22.5" customHeight="1" x14ac:dyDescent="0.25">
      <c r="A45" s="75"/>
      <c r="B45" s="3"/>
      <c r="C45" s="97">
        <f>$F$7*1.07</f>
        <v>1.242056</v>
      </c>
      <c r="D45" s="98">
        <f t="shared" si="0"/>
        <v>9936448</v>
      </c>
      <c r="E45" s="99">
        <f t="shared" si="1"/>
        <v>8712000</v>
      </c>
      <c r="F45" s="100">
        <f t="shared" si="2"/>
        <v>9363296.6390647832</v>
      </c>
      <c r="G45" s="101">
        <f t="shared" si="8"/>
        <v>9762568</v>
      </c>
      <c r="H45" s="102">
        <f t="shared" si="3"/>
        <v>-1224448.0000000007</v>
      </c>
      <c r="I45" s="103">
        <f t="shared" si="4"/>
        <v>-573151.36093521677</v>
      </c>
      <c r="J45" s="83">
        <f t="shared" si="5"/>
        <v>-173880</v>
      </c>
      <c r="K45" s="104" t="str">
        <f t="shared" si="6"/>
        <v>0. No Hedge</v>
      </c>
      <c r="L45" s="105" t="str">
        <f t="shared" si="7"/>
        <v>3. Option Hedge</v>
      </c>
      <c r="M45" s="23" t="s">
        <v>41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1:30" ht="22.5" customHeight="1" x14ac:dyDescent="0.15">
      <c r="A46" s="15"/>
      <c r="B46" s="1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1:30" ht="22.5" customHeight="1" x14ac:dyDescent="0.15">
      <c r="A47" s="1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 spans="1:30" ht="22.5" customHeight="1" x14ac:dyDescent="0.15">
      <c r="A48" s="15"/>
      <c r="B48" s="16"/>
      <c r="C48" s="2" t="s">
        <v>42</v>
      </c>
      <c r="D48" s="2"/>
      <c r="E48" s="2"/>
      <c r="F48" s="2"/>
      <c r="G48" s="2"/>
      <c r="H48" s="2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spans="1:30" ht="22.5" customHeight="1" x14ac:dyDescent="0.15">
      <c r="A49" s="15"/>
      <c r="B49" s="16"/>
      <c r="C49" s="106" t="s">
        <v>43</v>
      </c>
      <c r="D49" s="106" t="s">
        <v>44</v>
      </c>
      <c r="E49" s="106" t="s">
        <v>45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 spans="1:30" ht="22.5" customHeight="1" x14ac:dyDescent="0.15">
      <c r="A50" s="15"/>
      <c r="B50" s="16"/>
      <c r="C50" s="107" t="s">
        <v>19</v>
      </c>
      <c r="D50" s="108">
        <f>F18</f>
        <v>8712000</v>
      </c>
      <c r="E50" s="109" t="s">
        <v>46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 spans="1:30" ht="22.5" customHeight="1" x14ac:dyDescent="0.15">
      <c r="A51" s="15"/>
      <c r="B51" s="16"/>
      <c r="C51" s="107" t="s">
        <v>22</v>
      </c>
      <c r="D51" s="108">
        <f>F24</f>
        <v>9363296.6390647832</v>
      </c>
      <c r="E51" s="109" t="s">
        <v>47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 spans="1:30" ht="22.5" customHeight="1" x14ac:dyDescent="0.15">
      <c r="A52" s="15"/>
      <c r="B52" s="16"/>
      <c r="C52" s="107" t="s">
        <v>48</v>
      </c>
      <c r="D52" s="108">
        <f>F29</f>
        <v>9112520</v>
      </c>
      <c r="E52" s="109" t="s">
        <v>49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 spans="1:30" ht="22.5" customHeight="1" x14ac:dyDescent="0.15">
      <c r="A53" s="15"/>
      <c r="B53" s="16"/>
      <c r="C53" s="110" t="s">
        <v>50</v>
      </c>
      <c r="D53" s="110" t="s">
        <v>51</v>
      </c>
      <c r="E53" s="111" t="s">
        <v>52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</row>
    <row r="54" spans="1:30" ht="22.5" customHeight="1" x14ac:dyDescent="0.15">
      <c r="A54" s="15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 spans="1:30" ht="22.5" customHeight="1" x14ac:dyDescent="0.15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 spans="1:30" ht="22.5" customHeight="1" x14ac:dyDescent="0.15">
      <c r="A56" s="15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</row>
    <row r="57" spans="1:30" ht="22.5" customHeight="1" x14ac:dyDescent="0.15">
      <c r="A57" s="15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 spans="1:30" ht="22.5" customHeight="1" x14ac:dyDescent="0.15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</row>
    <row r="59" spans="1:30" ht="22.5" customHeight="1" x14ac:dyDescent="0.15">
      <c r="A59" s="15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</row>
    <row r="60" spans="1:30" ht="22.5" customHeight="1" x14ac:dyDescent="0.15">
      <c r="A60" s="15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 spans="1:30" ht="22.5" customHeight="1" x14ac:dyDescent="0.15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 spans="1:30" ht="22.5" customHeight="1" x14ac:dyDescent="0.15">
      <c r="A62" s="15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</row>
    <row r="63" spans="1:30" ht="22.5" customHeight="1" x14ac:dyDescent="0.15">
      <c r="A63" s="15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64" spans="1:30" ht="22.5" customHeight="1" x14ac:dyDescent="0.15">
      <c r="A64" s="15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 spans="1:30" ht="22.5" customHeight="1" x14ac:dyDescent="0.15">
      <c r="A65" s="15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 spans="1:30" ht="22.5" customHeight="1" x14ac:dyDescent="0.15">
      <c r="A66" s="15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 spans="1:30" ht="22.5" customHeight="1" x14ac:dyDescent="0.15">
      <c r="A67" s="15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 spans="1:30" ht="22.5" customHeight="1" x14ac:dyDescent="0.15">
      <c r="A68" s="15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 spans="1:30" ht="22.5" customHeight="1" x14ac:dyDescent="0.15">
      <c r="A69" s="15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 spans="1:30" ht="22.5" customHeight="1" x14ac:dyDescent="0.15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 spans="1:30" ht="22.5" customHeight="1" x14ac:dyDescent="0.15">
      <c r="A71" s="15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 spans="1:30" ht="22.5" customHeight="1" x14ac:dyDescent="0.15">
      <c r="A72" s="15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 spans="1:30" ht="22.5" customHeight="1" x14ac:dyDescent="0.15">
      <c r="A73" s="15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 spans="1:30" ht="22.5" customHeight="1" x14ac:dyDescent="0.15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 spans="1:30" ht="22.5" customHeight="1" x14ac:dyDescent="0.15">
      <c r="A75" s="15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 spans="1:30" ht="22.5" customHeight="1" x14ac:dyDescent="0.15">
      <c r="A76" s="15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 spans="1:30" ht="22.5" customHeight="1" x14ac:dyDescent="0.15">
      <c r="A77" s="15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 spans="1:30" ht="22.5" customHeight="1" x14ac:dyDescent="0.15">
      <c r="A78" s="15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 spans="1:30" ht="22.5" customHeight="1" x14ac:dyDescent="0.15">
      <c r="A79" s="15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 spans="1:30" ht="22.5" customHeight="1" x14ac:dyDescent="0.15">
      <c r="A80" s="15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</row>
    <row r="81" spans="1:30" ht="22.5" customHeight="1" x14ac:dyDescent="0.15">
      <c r="A81" s="15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 spans="1:30" ht="22.5" customHeight="1" x14ac:dyDescent="0.15">
      <c r="A82" s="15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 spans="1:30" ht="22.5" customHeight="1" x14ac:dyDescent="0.15">
      <c r="A83" s="15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4" spans="1:30" ht="22.5" customHeight="1" x14ac:dyDescent="0.15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</row>
    <row r="85" spans="1:30" ht="22.5" customHeight="1" x14ac:dyDescent="0.15">
      <c r="A85" s="15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 spans="1:30" ht="22.5" customHeight="1" x14ac:dyDescent="0.15">
      <c r="A86" s="15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 spans="1:30" ht="22.5" customHeight="1" x14ac:dyDescent="0.15">
      <c r="A87" s="15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 spans="1:30" ht="22.5" customHeight="1" x14ac:dyDescent="0.15">
      <c r="A88" s="15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 spans="1:30" ht="22.5" customHeight="1" x14ac:dyDescent="0.15">
      <c r="A89" s="15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</row>
    <row r="90" spans="1:30" ht="22.5" customHeight="1" x14ac:dyDescent="0.15">
      <c r="A90" s="15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</row>
    <row r="91" spans="1:30" ht="22.5" customHeight="1" x14ac:dyDescent="0.15">
      <c r="A91" s="15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 spans="1:30" ht="22.5" customHeight="1" x14ac:dyDescent="0.15">
      <c r="A92" s="15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 spans="1:30" ht="22.5" customHeight="1" x14ac:dyDescent="0.15">
      <c r="A93" s="15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 spans="1:30" ht="22.5" customHeight="1" x14ac:dyDescent="0.15">
      <c r="A94" s="15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</row>
    <row r="95" spans="1:30" ht="22.5" customHeight="1" x14ac:dyDescent="0.15">
      <c r="A95" s="15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 spans="1:30" ht="22.5" customHeight="1" x14ac:dyDescent="0.15">
      <c r="A96" s="15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 spans="1:30" ht="22.5" customHeight="1" x14ac:dyDescent="0.15">
      <c r="A97" s="15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 spans="1:30" ht="22.5" customHeight="1" x14ac:dyDescent="0.15">
      <c r="A98" s="15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 spans="1:30" ht="22.5" customHeight="1" x14ac:dyDescent="0.15">
      <c r="A99" s="15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 spans="1:30" ht="22.5" customHeight="1" x14ac:dyDescent="0.15">
      <c r="A100" s="15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 spans="1:30" ht="22.5" customHeight="1" x14ac:dyDescent="0.15">
      <c r="A101" s="15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</row>
    <row r="102" spans="1:30" ht="22.5" customHeight="1" x14ac:dyDescent="0.15">
      <c r="A102" s="15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</row>
    <row r="103" spans="1:30" ht="22.5" customHeight="1" x14ac:dyDescent="0.15">
      <c r="A103" s="15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</row>
    <row r="104" spans="1:30" ht="22.5" customHeight="1" x14ac:dyDescent="0.15">
      <c r="A104" s="15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</row>
    <row r="105" spans="1:30" ht="22.5" customHeight="1" x14ac:dyDescent="0.15">
      <c r="A105" s="15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</row>
    <row r="106" spans="1:30" ht="22.5" customHeight="1" x14ac:dyDescent="0.15">
      <c r="A106" s="15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 spans="1:30" ht="22.5" customHeight="1" x14ac:dyDescent="0.15">
      <c r="A107" s="15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</row>
    <row r="108" spans="1:30" ht="22.5" customHeight="1" x14ac:dyDescent="0.15">
      <c r="A108" s="15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</row>
    <row r="109" spans="1:30" ht="22.5" customHeight="1" x14ac:dyDescent="0.15">
      <c r="A109" s="15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</row>
    <row r="110" spans="1:30" ht="22.5" customHeight="1" x14ac:dyDescent="0.15">
      <c r="A110" s="15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</row>
    <row r="111" spans="1:30" ht="22.5" customHeight="1" x14ac:dyDescent="0.15">
      <c r="A111" s="15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</row>
    <row r="112" spans="1:30" ht="22.5" customHeight="1" x14ac:dyDescent="0.15">
      <c r="A112" s="15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</row>
    <row r="113" spans="1:30" ht="22.5" customHeight="1" x14ac:dyDescent="0.15">
      <c r="A113" s="15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</row>
    <row r="114" spans="1:30" ht="22.5" customHeight="1" x14ac:dyDescent="0.15">
      <c r="A114" s="15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 spans="1:30" ht="22.5" customHeight="1" x14ac:dyDescent="0.15">
      <c r="A115" s="15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</row>
    <row r="116" spans="1:30" ht="22.5" customHeight="1" x14ac:dyDescent="0.15">
      <c r="A116" s="15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</row>
    <row r="117" spans="1:30" ht="22.5" customHeight="1" x14ac:dyDescent="0.15">
      <c r="A117" s="15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</row>
    <row r="118" spans="1:30" ht="22.5" customHeight="1" x14ac:dyDescent="0.15">
      <c r="A118" s="15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 spans="1:30" ht="22.5" customHeight="1" x14ac:dyDescent="0.15">
      <c r="A119" s="15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 spans="1:30" ht="22.5" customHeight="1" x14ac:dyDescent="0.15">
      <c r="A120" s="15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 spans="1:30" ht="22.5" customHeight="1" x14ac:dyDescent="0.15">
      <c r="A121" s="15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</row>
    <row r="122" spans="1:30" ht="22.5" customHeight="1" x14ac:dyDescent="0.15">
      <c r="A122" s="15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 spans="1:30" ht="22.5" customHeight="1" x14ac:dyDescent="0.15">
      <c r="A123" s="15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 spans="1:30" ht="22.5" customHeight="1" x14ac:dyDescent="0.15">
      <c r="A124" s="15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 spans="1:30" ht="22.5" customHeight="1" x14ac:dyDescent="0.15">
      <c r="A125" s="15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 spans="1:30" ht="22.5" customHeight="1" x14ac:dyDescent="0.15">
      <c r="A126" s="15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 spans="1:30" ht="22.5" customHeight="1" x14ac:dyDescent="0.15">
      <c r="A127" s="15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 spans="1:30" ht="22.5" customHeight="1" x14ac:dyDescent="0.15">
      <c r="A128" s="15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</row>
    <row r="129" spans="1:30" ht="22.5" customHeight="1" x14ac:dyDescent="0.15">
      <c r="A129" s="15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 spans="1:30" ht="22.5" customHeight="1" x14ac:dyDescent="0.15">
      <c r="A130" s="15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 spans="1:30" ht="22.5" customHeight="1" x14ac:dyDescent="0.15">
      <c r="A131" s="15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 spans="1:30" ht="22.5" customHeight="1" x14ac:dyDescent="0.15">
      <c r="A132" s="15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 spans="1:30" ht="22.5" customHeight="1" x14ac:dyDescent="0.15">
      <c r="A133" s="15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</row>
    <row r="134" spans="1:30" ht="22.5" customHeight="1" x14ac:dyDescent="0.15">
      <c r="A134" s="15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 spans="1:30" ht="22.5" customHeight="1" x14ac:dyDescent="0.15">
      <c r="A135" s="15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</row>
    <row r="136" spans="1:30" ht="22.5" customHeight="1" x14ac:dyDescent="0.15">
      <c r="A136" s="15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</row>
    <row r="137" spans="1:30" ht="22.5" customHeight="1" x14ac:dyDescent="0.15">
      <c r="A137" s="15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 spans="1:30" ht="22.5" customHeight="1" x14ac:dyDescent="0.15">
      <c r="A138" s="15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 spans="1:30" ht="22.5" customHeight="1" x14ac:dyDescent="0.15">
      <c r="A139" s="15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 spans="1:30" ht="22.5" customHeight="1" x14ac:dyDescent="0.15">
      <c r="A140" s="15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</row>
    <row r="141" spans="1:30" ht="22.5" customHeight="1" x14ac:dyDescent="0.15">
      <c r="A141" s="15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 spans="1:30" ht="22.5" customHeight="1" x14ac:dyDescent="0.15">
      <c r="A142" s="15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 spans="1:30" ht="22.5" customHeight="1" x14ac:dyDescent="0.15">
      <c r="A143" s="15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 spans="1:30" ht="22.5" customHeight="1" x14ac:dyDescent="0.15">
      <c r="A144" s="15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 spans="1:30" ht="22.5" customHeight="1" x14ac:dyDescent="0.15">
      <c r="A145" s="15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 spans="1:30" ht="22.5" customHeight="1" x14ac:dyDescent="0.15">
      <c r="A146" s="15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 spans="1:30" ht="22.5" customHeight="1" x14ac:dyDescent="0.15">
      <c r="A147" s="15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 spans="1:30" ht="22.5" customHeight="1" x14ac:dyDescent="0.15">
      <c r="A148" s="15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 spans="1:30" ht="22.5" customHeight="1" x14ac:dyDescent="0.15">
      <c r="A149" s="15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 spans="1:30" ht="22.5" customHeight="1" x14ac:dyDescent="0.15">
      <c r="A150" s="15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 spans="1:30" ht="22.5" customHeight="1" x14ac:dyDescent="0.15">
      <c r="A151" s="15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 spans="1:30" ht="22.5" customHeight="1" x14ac:dyDescent="0.15">
      <c r="A152" s="15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 spans="1:30" ht="22.5" customHeight="1" x14ac:dyDescent="0.15">
      <c r="A153" s="15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 spans="1:30" ht="22.5" customHeight="1" x14ac:dyDescent="0.15">
      <c r="A154" s="15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 spans="1:30" ht="22.5" customHeight="1" x14ac:dyDescent="0.15">
      <c r="A155" s="15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 spans="1:30" ht="22.5" customHeight="1" x14ac:dyDescent="0.15">
      <c r="A156" s="15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 spans="1:30" ht="22.5" customHeight="1" x14ac:dyDescent="0.15">
      <c r="A157" s="15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 spans="1:30" ht="22.5" customHeight="1" x14ac:dyDescent="0.15">
      <c r="A158" s="15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 spans="1:30" ht="22.5" customHeight="1" x14ac:dyDescent="0.15">
      <c r="A159" s="15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 spans="1:30" ht="22.5" customHeight="1" x14ac:dyDescent="0.15">
      <c r="A160" s="15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 spans="1:30" ht="22.5" customHeight="1" x14ac:dyDescent="0.15">
      <c r="A161" s="15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 spans="1:30" ht="22.5" customHeight="1" x14ac:dyDescent="0.15">
      <c r="A162" s="15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 spans="1:30" ht="22.5" customHeight="1" x14ac:dyDescent="0.15">
      <c r="A163" s="15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 spans="1:30" ht="22.5" customHeight="1" x14ac:dyDescent="0.15">
      <c r="A164" s="15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 spans="1:30" ht="22.5" customHeight="1" x14ac:dyDescent="0.15">
      <c r="A165" s="15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 spans="1:30" ht="22.5" customHeight="1" x14ac:dyDescent="0.15">
      <c r="A166" s="15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 spans="1:30" ht="22.5" customHeight="1" x14ac:dyDescent="0.15">
      <c r="A167" s="15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 spans="1:30" ht="22.5" customHeight="1" x14ac:dyDescent="0.15">
      <c r="A168" s="15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 spans="1:30" ht="22.5" customHeight="1" x14ac:dyDescent="0.15">
      <c r="A169" s="15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 spans="1:30" ht="22.5" customHeight="1" x14ac:dyDescent="0.15">
      <c r="A170" s="15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 spans="1:30" ht="22.5" customHeight="1" x14ac:dyDescent="0.15">
      <c r="A171" s="15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 spans="1:30" ht="22.5" customHeight="1" x14ac:dyDescent="0.15">
      <c r="A172" s="15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 spans="1:30" ht="22.5" customHeight="1" x14ac:dyDescent="0.15">
      <c r="A173" s="15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 spans="1:30" ht="22.5" customHeight="1" x14ac:dyDescent="0.15">
      <c r="A174" s="15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 spans="1:30" ht="22.5" customHeight="1" x14ac:dyDescent="0.15">
      <c r="A175" s="15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 spans="1:30" ht="22.5" customHeight="1" x14ac:dyDescent="0.15">
      <c r="A176" s="15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 spans="1:30" ht="22.5" customHeight="1" x14ac:dyDescent="0.15">
      <c r="A177" s="15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 spans="1:30" ht="22.5" customHeight="1" x14ac:dyDescent="0.15">
      <c r="A178" s="15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 spans="1:30" ht="22.5" customHeight="1" x14ac:dyDescent="0.15">
      <c r="A179" s="15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 spans="1:30" ht="22.5" customHeight="1" x14ac:dyDescent="0.15">
      <c r="A180" s="15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 spans="1:30" ht="22.5" customHeight="1" x14ac:dyDescent="0.15">
      <c r="A181" s="15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 spans="1:30" ht="22.5" customHeight="1" x14ac:dyDescent="0.15">
      <c r="A182" s="15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 spans="1:30" ht="22.5" customHeight="1" x14ac:dyDescent="0.15">
      <c r="A183" s="15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 spans="1:30" ht="22.5" customHeight="1" x14ac:dyDescent="0.15">
      <c r="A184" s="15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 spans="1:30" ht="22.5" customHeight="1" x14ac:dyDescent="0.15">
      <c r="A185" s="15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 spans="1:30" ht="22.5" customHeight="1" x14ac:dyDescent="0.15">
      <c r="A186" s="15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 spans="1:30" ht="22.5" customHeight="1" x14ac:dyDescent="0.15">
      <c r="A187" s="15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 spans="1:30" ht="22.5" customHeight="1" x14ac:dyDescent="0.15">
      <c r="A188" s="15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 spans="1:30" ht="22.5" customHeight="1" x14ac:dyDescent="0.15">
      <c r="A189" s="15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 spans="1:30" ht="22.5" customHeight="1" x14ac:dyDescent="0.15">
      <c r="A190" s="15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 spans="1:30" ht="22.5" customHeight="1" x14ac:dyDescent="0.15">
      <c r="A191" s="15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 spans="1:30" ht="22.5" customHeight="1" x14ac:dyDescent="0.15">
      <c r="A192" s="15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 spans="1:30" ht="22.5" customHeight="1" x14ac:dyDescent="0.15">
      <c r="A193" s="15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 spans="1:30" ht="22.5" customHeight="1" x14ac:dyDescent="0.15">
      <c r="A194" s="15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 spans="1:30" ht="22.5" customHeight="1" x14ac:dyDescent="0.15">
      <c r="A195" s="15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 spans="1:30" ht="22.5" customHeight="1" x14ac:dyDescent="0.15">
      <c r="A196" s="15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 spans="1:30" ht="22.5" customHeight="1" x14ac:dyDescent="0.15">
      <c r="A197" s="15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 spans="1:30" ht="22.5" customHeight="1" x14ac:dyDescent="0.15">
      <c r="A198" s="15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 spans="1:30" ht="22.5" customHeight="1" x14ac:dyDescent="0.15">
      <c r="A199" s="15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 spans="1:30" ht="22.5" customHeight="1" x14ac:dyDescent="0.15">
      <c r="A200" s="15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 spans="1:30" ht="22.5" customHeight="1" x14ac:dyDescent="0.15">
      <c r="A201" s="15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 spans="1:30" ht="22.5" customHeight="1" x14ac:dyDescent="0.15">
      <c r="A202" s="15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 spans="1:30" ht="22.5" customHeight="1" x14ac:dyDescent="0.15">
      <c r="A203" s="15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 spans="1:30" ht="22.5" customHeight="1" x14ac:dyDescent="0.15">
      <c r="A204" s="15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 spans="1:30" ht="22.5" customHeight="1" x14ac:dyDescent="0.15">
      <c r="A205" s="15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 spans="1:30" ht="22.5" customHeight="1" x14ac:dyDescent="0.15">
      <c r="A206" s="15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 spans="1:30" ht="22.5" customHeight="1" x14ac:dyDescent="0.15">
      <c r="A207" s="15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 spans="1:30" ht="22.5" customHeight="1" x14ac:dyDescent="0.15">
      <c r="A208" s="15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 spans="1:30" ht="22.5" customHeight="1" x14ac:dyDescent="0.15">
      <c r="A209" s="15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 spans="1:30" ht="22.5" customHeight="1" x14ac:dyDescent="0.15">
      <c r="A210" s="15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 spans="1:30" ht="22.5" customHeight="1" x14ac:dyDescent="0.15">
      <c r="A211" s="15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 spans="1:30" ht="22.5" customHeight="1" x14ac:dyDescent="0.15">
      <c r="A212" s="15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 spans="1:30" ht="22.5" customHeight="1" x14ac:dyDescent="0.15">
      <c r="A213" s="15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 spans="1:30" ht="22.5" customHeight="1" x14ac:dyDescent="0.15">
      <c r="A214" s="15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 spans="1:30" ht="22.5" customHeight="1" x14ac:dyDescent="0.15">
      <c r="A215" s="15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 spans="1:30" ht="22.5" customHeight="1" x14ac:dyDescent="0.15">
      <c r="A216" s="15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 spans="1:30" ht="22.5" customHeight="1" x14ac:dyDescent="0.15">
      <c r="A217" s="15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 spans="1:30" ht="22.5" customHeight="1" x14ac:dyDescent="0.15">
      <c r="A218" s="15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 spans="1:30" ht="22.5" customHeight="1" x14ac:dyDescent="0.15">
      <c r="A219" s="15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 spans="1:30" ht="22.5" customHeight="1" x14ac:dyDescent="0.15">
      <c r="A220" s="15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 spans="1:30" ht="22.5" customHeight="1" x14ac:dyDescent="0.15">
      <c r="A221" s="15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 spans="1:30" ht="22.5" customHeight="1" x14ac:dyDescent="0.15">
      <c r="A222" s="15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 spans="1:30" ht="22.5" customHeight="1" x14ac:dyDescent="0.15">
      <c r="A223" s="15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 spans="1:30" ht="22.5" customHeight="1" x14ac:dyDescent="0.15">
      <c r="A224" s="15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 spans="1:30" ht="22.5" customHeight="1" x14ac:dyDescent="0.15">
      <c r="A225" s="15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 spans="1:30" ht="22.5" customHeight="1" x14ac:dyDescent="0.15">
      <c r="A226" s="15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 spans="1:30" ht="22.5" customHeight="1" x14ac:dyDescent="0.15">
      <c r="A227" s="15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 spans="1:30" ht="22.5" customHeight="1" x14ac:dyDescent="0.15">
      <c r="A228" s="15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 spans="1:30" ht="22.5" customHeight="1" x14ac:dyDescent="0.15">
      <c r="A229" s="15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 spans="1:30" ht="22.5" customHeight="1" x14ac:dyDescent="0.15">
      <c r="A230" s="15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 spans="1:30" ht="22.5" customHeight="1" x14ac:dyDescent="0.15">
      <c r="A231" s="15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 spans="1:30" ht="22.5" customHeight="1" x14ac:dyDescent="0.15">
      <c r="A232" s="15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 spans="1:30" ht="22.5" customHeight="1" x14ac:dyDescent="0.15">
      <c r="A233" s="15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 spans="1:30" ht="22.5" customHeight="1" x14ac:dyDescent="0.15">
      <c r="A234" s="15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 spans="1:30" ht="22.5" customHeight="1" x14ac:dyDescent="0.15">
      <c r="A235" s="15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 spans="1:30" ht="22.5" customHeight="1" x14ac:dyDescent="0.15">
      <c r="A236" s="15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 spans="1:30" ht="22.5" customHeight="1" x14ac:dyDescent="0.15">
      <c r="A237" s="15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 spans="1:30" ht="22.5" customHeight="1" x14ac:dyDescent="0.15">
      <c r="A238" s="15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 spans="1:30" ht="22.5" customHeight="1" x14ac:dyDescent="0.15">
      <c r="A239" s="15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 spans="1:30" ht="22.5" customHeight="1" x14ac:dyDescent="0.15">
      <c r="A240" s="15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 spans="1:30" ht="22.5" customHeight="1" x14ac:dyDescent="0.15">
      <c r="A241" s="15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 spans="1:30" ht="22.5" customHeight="1" x14ac:dyDescent="0.15">
      <c r="A242" s="15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 spans="1:30" ht="22.5" customHeight="1" x14ac:dyDescent="0.15">
      <c r="A243" s="15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 spans="1:30" ht="22.5" customHeight="1" x14ac:dyDescent="0.15">
      <c r="A244" s="15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 spans="1:30" ht="22.5" customHeight="1" x14ac:dyDescent="0.15">
      <c r="A245" s="15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 spans="1:30" ht="22.5" customHeight="1" x14ac:dyDescent="0.15">
      <c r="A246" s="15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 spans="1:30" ht="22.5" customHeight="1" x14ac:dyDescent="0.15">
      <c r="A247" s="15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 spans="1:30" ht="22.5" customHeight="1" x14ac:dyDescent="0.15">
      <c r="A248" s="15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 spans="1:30" ht="22.5" customHeight="1" x14ac:dyDescent="0.15">
      <c r="A249" s="15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 spans="1:30" ht="22.5" customHeight="1" x14ac:dyDescent="0.15">
      <c r="A250" s="15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 spans="1:30" ht="22.5" customHeight="1" x14ac:dyDescent="0.15">
      <c r="A251" s="15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 spans="1:30" ht="22.5" customHeight="1" x14ac:dyDescent="0.15">
      <c r="A252" s="15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 spans="1:30" ht="22.5" customHeight="1" x14ac:dyDescent="0.15">
      <c r="A253" s="15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 spans="1:30" ht="22.5" customHeight="1" x14ac:dyDescent="0.15">
      <c r="A254" s="15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 spans="1:30" ht="22.5" customHeight="1" x14ac:dyDescent="0.15">
      <c r="A255" s="15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 spans="1:30" ht="22.5" customHeight="1" x14ac:dyDescent="0.15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 spans="1:30" ht="22.5" customHeight="1" x14ac:dyDescent="0.15">
      <c r="A257" s="15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 spans="1:30" ht="22.5" customHeight="1" x14ac:dyDescent="0.15">
      <c r="A258" s="15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 spans="1:30" ht="22.5" customHeight="1" x14ac:dyDescent="0.15">
      <c r="A259" s="15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 spans="1:30" ht="22.5" customHeight="1" x14ac:dyDescent="0.15">
      <c r="A260" s="15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 spans="1:30" ht="22.5" customHeight="1" x14ac:dyDescent="0.15">
      <c r="A261" s="15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 spans="1:30" ht="22.5" customHeight="1" x14ac:dyDescent="0.15">
      <c r="A262" s="15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 spans="1:30" ht="22.5" customHeight="1" x14ac:dyDescent="0.15">
      <c r="A263" s="15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 spans="1:30" ht="22.5" customHeight="1" x14ac:dyDescent="0.15">
      <c r="A264" s="15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 spans="1:30" ht="22.5" customHeight="1" x14ac:dyDescent="0.15">
      <c r="A265" s="15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 spans="1:30" ht="22.5" customHeight="1" x14ac:dyDescent="0.15">
      <c r="A266" s="15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 spans="1:30" ht="22.5" customHeight="1" x14ac:dyDescent="0.15">
      <c r="A267" s="15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 spans="1:30" ht="22.5" customHeight="1" x14ac:dyDescent="0.15">
      <c r="A268" s="15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 spans="1:30" ht="22.5" customHeight="1" x14ac:dyDescent="0.15">
      <c r="A269" s="15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 spans="1:30" ht="22.5" customHeight="1" x14ac:dyDescent="0.15">
      <c r="A270" s="15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 spans="1:30" ht="22.5" customHeight="1" x14ac:dyDescent="0.15">
      <c r="A271" s="15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 spans="1:30" ht="22.5" customHeight="1" x14ac:dyDescent="0.15">
      <c r="A272" s="15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 spans="1:30" ht="22.5" customHeight="1" x14ac:dyDescent="0.15">
      <c r="A273" s="15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 spans="1:30" ht="22.5" customHeight="1" x14ac:dyDescent="0.15">
      <c r="A274" s="15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 spans="1:30" ht="22.5" customHeight="1" x14ac:dyDescent="0.15">
      <c r="A275" s="15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 spans="1:30" ht="22.5" customHeight="1" x14ac:dyDescent="0.15">
      <c r="A276" s="15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 spans="1:30" ht="22.5" customHeight="1" x14ac:dyDescent="0.15">
      <c r="A277" s="15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 spans="1:30" ht="22.5" customHeight="1" x14ac:dyDescent="0.15">
      <c r="A278" s="15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 spans="1:30" ht="22.5" customHeight="1" x14ac:dyDescent="0.15">
      <c r="A279" s="15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 spans="1:30" ht="22.5" customHeight="1" x14ac:dyDescent="0.15">
      <c r="A280" s="15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 spans="1:30" ht="22.5" customHeight="1" x14ac:dyDescent="0.15">
      <c r="A281" s="15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 spans="1:30" ht="22.5" customHeight="1" x14ac:dyDescent="0.15">
      <c r="A282" s="15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 spans="1:30" ht="22.5" customHeight="1" x14ac:dyDescent="0.15">
      <c r="A283" s="15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 spans="1:30" ht="22.5" customHeight="1" x14ac:dyDescent="0.15">
      <c r="A284" s="15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 spans="1:30" ht="22.5" customHeight="1" x14ac:dyDescent="0.15">
      <c r="A285" s="15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 spans="1:30" ht="22.5" customHeight="1" x14ac:dyDescent="0.15">
      <c r="A286" s="15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 spans="1:30" ht="22.5" customHeight="1" x14ac:dyDescent="0.15">
      <c r="A287" s="15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 spans="1:30" ht="22.5" customHeight="1" x14ac:dyDescent="0.15">
      <c r="A288" s="15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 spans="1:30" ht="22.5" customHeight="1" x14ac:dyDescent="0.15">
      <c r="A289" s="15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 spans="1:30" ht="22.5" customHeight="1" x14ac:dyDescent="0.15">
      <c r="A290" s="15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 spans="1:30" ht="22.5" customHeight="1" x14ac:dyDescent="0.15">
      <c r="A291" s="15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 spans="1:30" ht="22.5" customHeight="1" x14ac:dyDescent="0.15">
      <c r="A292" s="15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 spans="1:30" ht="22.5" customHeight="1" x14ac:dyDescent="0.15">
      <c r="A293" s="15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 spans="1:30" ht="22.5" customHeight="1" x14ac:dyDescent="0.15">
      <c r="A294" s="15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 spans="1:30" ht="22.5" customHeight="1" x14ac:dyDescent="0.15">
      <c r="A295" s="15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 spans="1:30" ht="22.5" customHeight="1" x14ac:dyDescent="0.15">
      <c r="A296" s="15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 spans="1:30" ht="22.5" customHeight="1" x14ac:dyDescent="0.15">
      <c r="A297" s="15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 spans="1:30" ht="22.5" customHeight="1" x14ac:dyDescent="0.15">
      <c r="A298" s="15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 spans="1:30" ht="22.5" customHeight="1" x14ac:dyDescent="0.15">
      <c r="A299" s="15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 spans="1:30" ht="22.5" customHeight="1" x14ac:dyDescent="0.15">
      <c r="A300" s="15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 spans="1:30" ht="22.5" customHeight="1" x14ac:dyDescent="0.15">
      <c r="A301" s="15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 spans="1:30" ht="22.5" customHeight="1" x14ac:dyDescent="0.15">
      <c r="A302" s="15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 spans="1:30" ht="22.5" customHeight="1" x14ac:dyDescent="0.15">
      <c r="A303" s="15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 spans="1:30" ht="22.5" customHeight="1" x14ac:dyDescent="0.15">
      <c r="A304" s="15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 spans="1:30" ht="22.5" customHeight="1" x14ac:dyDescent="0.15">
      <c r="A305" s="15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 spans="1:30" ht="22.5" customHeight="1" x14ac:dyDescent="0.15">
      <c r="A306" s="15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 spans="1:30" ht="22.5" customHeight="1" x14ac:dyDescent="0.15">
      <c r="A307" s="15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 spans="1:30" ht="22.5" customHeight="1" x14ac:dyDescent="0.15">
      <c r="A308" s="15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 spans="1:30" ht="22.5" customHeight="1" x14ac:dyDescent="0.15">
      <c r="A309" s="15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 spans="1:30" ht="22.5" customHeight="1" x14ac:dyDescent="0.15">
      <c r="A310" s="15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 spans="1:30" ht="22.5" customHeight="1" x14ac:dyDescent="0.15">
      <c r="A311" s="15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 spans="1:30" ht="22.5" customHeight="1" x14ac:dyDescent="0.15">
      <c r="A312" s="15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 spans="1:30" ht="22.5" customHeight="1" x14ac:dyDescent="0.15">
      <c r="A313" s="15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 spans="1:30" ht="22.5" customHeight="1" x14ac:dyDescent="0.15">
      <c r="A314" s="15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 spans="1:30" ht="22.5" customHeight="1" x14ac:dyDescent="0.15">
      <c r="A315" s="15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 spans="1:30" ht="22.5" customHeight="1" x14ac:dyDescent="0.15">
      <c r="A316" s="15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 spans="1:30" ht="22.5" customHeight="1" x14ac:dyDescent="0.15">
      <c r="A317" s="15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 spans="1:30" ht="22.5" customHeight="1" x14ac:dyDescent="0.15">
      <c r="A318" s="15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 spans="1:30" ht="22.5" customHeight="1" x14ac:dyDescent="0.15">
      <c r="A319" s="15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 spans="1:30" ht="22.5" customHeight="1" x14ac:dyDescent="0.15">
      <c r="A320" s="15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 spans="1:30" ht="22.5" customHeight="1" x14ac:dyDescent="0.15">
      <c r="A321" s="15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 spans="1:30" ht="22.5" customHeight="1" x14ac:dyDescent="0.15">
      <c r="A322" s="15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 spans="1:30" ht="22.5" customHeight="1" x14ac:dyDescent="0.15">
      <c r="A323" s="15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 spans="1:30" ht="22.5" customHeight="1" x14ac:dyDescent="0.15">
      <c r="A324" s="15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 spans="1:30" ht="22.5" customHeight="1" x14ac:dyDescent="0.15">
      <c r="A325" s="15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 spans="1:30" ht="22.5" customHeight="1" x14ac:dyDescent="0.15">
      <c r="A326" s="15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 spans="1:30" ht="22.5" customHeight="1" x14ac:dyDescent="0.15">
      <c r="A327" s="15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 spans="1:30" ht="22.5" customHeight="1" x14ac:dyDescent="0.15">
      <c r="A328" s="15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 spans="1:30" ht="22.5" customHeight="1" x14ac:dyDescent="0.15">
      <c r="A329" s="15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 spans="1:30" ht="22.5" customHeight="1" x14ac:dyDescent="0.15">
      <c r="A330" s="15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 spans="1:30" ht="22.5" customHeight="1" x14ac:dyDescent="0.15">
      <c r="A331" s="15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 spans="1:30" ht="22.5" customHeight="1" x14ac:dyDescent="0.15">
      <c r="A332" s="15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 spans="1:30" ht="22.5" customHeight="1" x14ac:dyDescent="0.15">
      <c r="A333" s="15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 spans="1:30" ht="22.5" customHeight="1" x14ac:dyDescent="0.15">
      <c r="A334" s="15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 spans="1:30" ht="22.5" customHeight="1" x14ac:dyDescent="0.15">
      <c r="A335" s="15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 spans="1:30" ht="22.5" customHeight="1" x14ac:dyDescent="0.15">
      <c r="A336" s="15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 spans="1:30" ht="22.5" customHeight="1" x14ac:dyDescent="0.15">
      <c r="A337" s="15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 spans="1:30" ht="22.5" customHeight="1" x14ac:dyDescent="0.15">
      <c r="A338" s="15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 spans="1:30" ht="22.5" customHeight="1" x14ac:dyDescent="0.15">
      <c r="A339" s="15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 spans="1:30" ht="22.5" customHeight="1" x14ac:dyDescent="0.15">
      <c r="A340" s="15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 spans="1:30" ht="22.5" customHeight="1" x14ac:dyDescent="0.15">
      <c r="A341" s="15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 spans="1:30" ht="22.5" customHeight="1" x14ac:dyDescent="0.15">
      <c r="A342" s="15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 spans="1:30" ht="22.5" customHeight="1" x14ac:dyDescent="0.15">
      <c r="A343" s="15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 spans="1:30" ht="22.5" customHeight="1" x14ac:dyDescent="0.15">
      <c r="A344" s="15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 spans="1:30" ht="22.5" customHeight="1" x14ac:dyDescent="0.15">
      <c r="A345" s="15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 spans="1:30" ht="22.5" customHeight="1" x14ac:dyDescent="0.15">
      <c r="A346" s="15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 spans="1:30" ht="22.5" customHeight="1" x14ac:dyDescent="0.15">
      <c r="A347" s="15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 spans="1:30" ht="22.5" customHeight="1" x14ac:dyDescent="0.15">
      <c r="A348" s="15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 spans="1:30" ht="22.5" customHeight="1" x14ac:dyDescent="0.15">
      <c r="A349" s="15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 spans="1:30" ht="22.5" customHeight="1" x14ac:dyDescent="0.15">
      <c r="A350" s="15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 spans="1:30" ht="22.5" customHeight="1" x14ac:dyDescent="0.15">
      <c r="A351" s="15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 spans="1:30" ht="22.5" customHeight="1" x14ac:dyDescent="0.15">
      <c r="A352" s="15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 spans="1:30" ht="22.5" customHeight="1" x14ac:dyDescent="0.15">
      <c r="A353" s="15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 spans="1:30" ht="22.5" customHeight="1" x14ac:dyDescent="0.15">
      <c r="A354" s="15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 spans="1:30" ht="22.5" customHeight="1" x14ac:dyDescent="0.15">
      <c r="A355" s="15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 spans="1:30" ht="22.5" customHeight="1" x14ac:dyDescent="0.15">
      <c r="A356" s="15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 spans="1:30" ht="22.5" customHeight="1" x14ac:dyDescent="0.15">
      <c r="A357" s="15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 spans="1:30" ht="22.5" customHeight="1" x14ac:dyDescent="0.15">
      <c r="A358" s="15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 spans="1:30" ht="22.5" customHeight="1" x14ac:dyDescent="0.15">
      <c r="A359" s="15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 spans="1:30" ht="22.5" customHeight="1" x14ac:dyDescent="0.15">
      <c r="A360" s="15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 spans="1:30" ht="22.5" customHeight="1" x14ac:dyDescent="0.15">
      <c r="A361" s="15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 spans="1:30" ht="22.5" customHeight="1" x14ac:dyDescent="0.15">
      <c r="A362" s="15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 spans="1:30" ht="22.5" customHeight="1" x14ac:dyDescent="0.15">
      <c r="A363" s="15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 spans="1:30" ht="22.5" customHeight="1" x14ac:dyDescent="0.15">
      <c r="A364" s="15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 spans="1:30" ht="22.5" customHeight="1" x14ac:dyDescent="0.15">
      <c r="A365" s="15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 spans="1:30" ht="22.5" customHeight="1" x14ac:dyDescent="0.15">
      <c r="A366" s="15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 spans="1:30" ht="22.5" customHeight="1" x14ac:dyDescent="0.15">
      <c r="A367" s="15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 spans="1:30" ht="22.5" customHeight="1" x14ac:dyDescent="0.15">
      <c r="A368" s="15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 spans="1:30" ht="22.5" customHeight="1" x14ac:dyDescent="0.15">
      <c r="A369" s="15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 spans="1:30" ht="22.5" customHeight="1" x14ac:dyDescent="0.15">
      <c r="A370" s="15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 spans="1:30" ht="22.5" customHeight="1" x14ac:dyDescent="0.15">
      <c r="A371" s="15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 spans="1:30" ht="22.5" customHeight="1" x14ac:dyDescent="0.15">
      <c r="A372" s="15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 spans="1:30" ht="22.5" customHeight="1" x14ac:dyDescent="0.15">
      <c r="A373" s="15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 spans="1:30" ht="22.5" customHeight="1" x14ac:dyDescent="0.15">
      <c r="A374" s="15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 spans="1:30" ht="22.5" customHeight="1" x14ac:dyDescent="0.15">
      <c r="A375" s="15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 spans="1:30" ht="22.5" customHeight="1" x14ac:dyDescent="0.15">
      <c r="A376" s="15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 spans="1:30" ht="22.5" customHeight="1" x14ac:dyDescent="0.15">
      <c r="A377" s="15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 spans="1:30" ht="22.5" customHeight="1" x14ac:dyDescent="0.15">
      <c r="A378" s="15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 spans="1:30" ht="22.5" customHeight="1" x14ac:dyDescent="0.15">
      <c r="A379" s="15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 spans="1:30" ht="22.5" customHeight="1" x14ac:dyDescent="0.15">
      <c r="A380" s="15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 spans="1:30" ht="22.5" customHeight="1" x14ac:dyDescent="0.15">
      <c r="A381" s="15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 spans="1:30" ht="22.5" customHeight="1" x14ac:dyDescent="0.15">
      <c r="A382" s="15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 spans="1:30" ht="22.5" customHeight="1" x14ac:dyDescent="0.15">
      <c r="A383" s="15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 spans="1:30" ht="22.5" customHeight="1" x14ac:dyDescent="0.15">
      <c r="A384" s="15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 spans="1:30" ht="22.5" customHeight="1" x14ac:dyDescent="0.15">
      <c r="A385" s="15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 spans="1:30" ht="22.5" customHeight="1" x14ac:dyDescent="0.15">
      <c r="A386" s="15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 spans="1:30" ht="22.5" customHeight="1" x14ac:dyDescent="0.15">
      <c r="A387" s="15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 spans="1:30" ht="22.5" customHeight="1" x14ac:dyDescent="0.15">
      <c r="A388" s="15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 spans="1:30" ht="22.5" customHeight="1" x14ac:dyDescent="0.15">
      <c r="A389" s="15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 spans="1:30" ht="22.5" customHeight="1" x14ac:dyDescent="0.15">
      <c r="A390" s="15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 spans="1:30" ht="22.5" customHeight="1" x14ac:dyDescent="0.15">
      <c r="A391" s="15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 spans="1:30" ht="22.5" customHeight="1" x14ac:dyDescent="0.15">
      <c r="A392" s="15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 spans="1:30" ht="22.5" customHeight="1" x14ac:dyDescent="0.15">
      <c r="A393" s="15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 spans="1:30" ht="22.5" customHeight="1" x14ac:dyDescent="0.15">
      <c r="A394" s="15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 spans="1:30" ht="22.5" customHeight="1" x14ac:dyDescent="0.15">
      <c r="A395" s="15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 spans="1:30" ht="22.5" customHeight="1" x14ac:dyDescent="0.15">
      <c r="A396" s="15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 spans="1:30" ht="22.5" customHeight="1" x14ac:dyDescent="0.15">
      <c r="A397" s="15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 spans="1:30" ht="22.5" customHeight="1" x14ac:dyDescent="0.15">
      <c r="A398" s="15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 spans="1:30" ht="22.5" customHeight="1" x14ac:dyDescent="0.15">
      <c r="A399" s="15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 spans="1:30" ht="22.5" customHeight="1" x14ac:dyDescent="0.15">
      <c r="A400" s="15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 spans="1:30" ht="22.5" customHeight="1" x14ac:dyDescent="0.15">
      <c r="A401" s="15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 spans="1:30" ht="22.5" customHeight="1" x14ac:dyDescent="0.15">
      <c r="A402" s="15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 spans="1:30" ht="22.5" customHeight="1" x14ac:dyDescent="0.15">
      <c r="A403" s="15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 spans="1:30" ht="22.5" customHeight="1" x14ac:dyDescent="0.15">
      <c r="A404" s="15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 spans="1:30" ht="22.5" customHeight="1" x14ac:dyDescent="0.15">
      <c r="A405" s="15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 spans="1:30" ht="22.5" customHeight="1" x14ac:dyDescent="0.15">
      <c r="A406" s="15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 spans="1:30" ht="22.5" customHeight="1" x14ac:dyDescent="0.15">
      <c r="A407" s="15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 spans="1:30" ht="22.5" customHeight="1" x14ac:dyDescent="0.15">
      <c r="A408" s="15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 spans="1:30" ht="22.5" customHeight="1" x14ac:dyDescent="0.15">
      <c r="A409" s="15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 spans="1:30" ht="22.5" customHeight="1" x14ac:dyDescent="0.15">
      <c r="A410" s="15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 spans="1:30" ht="22.5" customHeight="1" x14ac:dyDescent="0.15">
      <c r="A411" s="15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 spans="1:30" ht="22.5" customHeight="1" x14ac:dyDescent="0.15">
      <c r="A412" s="15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 spans="1:30" ht="22.5" customHeight="1" x14ac:dyDescent="0.15">
      <c r="A413" s="15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 spans="1:30" ht="22.5" customHeight="1" x14ac:dyDescent="0.15">
      <c r="A414" s="15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 spans="1:30" ht="22.5" customHeight="1" x14ac:dyDescent="0.15">
      <c r="A415" s="15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 spans="1:30" ht="22.5" customHeight="1" x14ac:dyDescent="0.15">
      <c r="A416" s="15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 spans="1:30" ht="22.5" customHeight="1" x14ac:dyDescent="0.15">
      <c r="A417" s="15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 spans="1:30" ht="22.5" customHeight="1" x14ac:dyDescent="0.15">
      <c r="A418" s="15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 spans="1:30" ht="22.5" customHeight="1" x14ac:dyDescent="0.15">
      <c r="A419" s="15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 spans="1:30" ht="22.5" customHeight="1" x14ac:dyDescent="0.15">
      <c r="A420" s="15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 spans="1:30" ht="22.5" customHeight="1" x14ac:dyDescent="0.15">
      <c r="A421" s="15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 spans="1:30" ht="22.5" customHeight="1" x14ac:dyDescent="0.15">
      <c r="A422" s="15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 spans="1:30" ht="22.5" customHeight="1" x14ac:dyDescent="0.15">
      <c r="A423" s="15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 spans="1:30" ht="22.5" customHeight="1" x14ac:dyDescent="0.15">
      <c r="A424" s="15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 spans="1:30" ht="22.5" customHeight="1" x14ac:dyDescent="0.15">
      <c r="A425" s="15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 spans="1:30" ht="22.5" customHeight="1" x14ac:dyDescent="0.15">
      <c r="A426" s="15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 spans="1:30" ht="22.5" customHeight="1" x14ac:dyDescent="0.15">
      <c r="A427" s="15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 spans="1:30" ht="22.5" customHeight="1" x14ac:dyDescent="0.15">
      <c r="A428" s="15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 spans="1:30" ht="22.5" customHeight="1" x14ac:dyDescent="0.15">
      <c r="A429" s="15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 spans="1:30" ht="22.5" customHeight="1" x14ac:dyDescent="0.15">
      <c r="A430" s="15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 spans="1:30" ht="22.5" customHeight="1" x14ac:dyDescent="0.15">
      <c r="A431" s="15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 spans="1:30" ht="22.5" customHeight="1" x14ac:dyDescent="0.15">
      <c r="A432" s="15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 spans="1:30" ht="22.5" customHeight="1" x14ac:dyDescent="0.15">
      <c r="A433" s="15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 spans="1:30" ht="22.5" customHeight="1" x14ac:dyDescent="0.15">
      <c r="A434" s="15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 spans="1:30" ht="22.5" customHeight="1" x14ac:dyDescent="0.15">
      <c r="A435" s="15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 spans="1:30" ht="22.5" customHeight="1" x14ac:dyDescent="0.15">
      <c r="A436" s="15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 spans="1:30" ht="22.5" customHeight="1" x14ac:dyDescent="0.15">
      <c r="A437" s="15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 spans="1:30" ht="22.5" customHeight="1" x14ac:dyDescent="0.15">
      <c r="A438" s="15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 spans="1:30" ht="22.5" customHeight="1" x14ac:dyDescent="0.15">
      <c r="A439" s="15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 spans="1:30" ht="22.5" customHeight="1" x14ac:dyDescent="0.15">
      <c r="A440" s="15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 spans="1:30" ht="22.5" customHeight="1" x14ac:dyDescent="0.15">
      <c r="A441" s="15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 spans="1:30" ht="22.5" customHeight="1" x14ac:dyDescent="0.15">
      <c r="A442" s="15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 spans="1:30" ht="22.5" customHeight="1" x14ac:dyDescent="0.15">
      <c r="A443" s="15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 spans="1:30" ht="22.5" customHeight="1" x14ac:dyDescent="0.15">
      <c r="A444" s="15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 spans="1:30" ht="22.5" customHeight="1" x14ac:dyDescent="0.15">
      <c r="A445" s="15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 spans="1:30" ht="22.5" customHeight="1" x14ac:dyDescent="0.15">
      <c r="A446" s="15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 spans="1:30" ht="22.5" customHeight="1" x14ac:dyDescent="0.15">
      <c r="A447" s="15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 spans="1:30" ht="22.5" customHeight="1" x14ac:dyDescent="0.15">
      <c r="A448" s="15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 spans="1:30" ht="22.5" customHeight="1" x14ac:dyDescent="0.15">
      <c r="A449" s="15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 spans="1:30" ht="22.5" customHeight="1" x14ac:dyDescent="0.15">
      <c r="A450" s="15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 spans="1:30" ht="22.5" customHeight="1" x14ac:dyDescent="0.15">
      <c r="A451" s="15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 spans="1:30" ht="22.5" customHeight="1" x14ac:dyDescent="0.15">
      <c r="A452" s="15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 spans="1:30" ht="22.5" customHeight="1" x14ac:dyDescent="0.15">
      <c r="A453" s="15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 spans="1:30" ht="22.5" customHeight="1" x14ac:dyDescent="0.15">
      <c r="A454" s="15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 spans="1:30" ht="22.5" customHeight="1" x14ac:dyDescent="0.15">
      <c r="A455" s="15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 spans="1:30" ht="22.5" customHeight="1" x14ac:dyDescent="0.15">
      <c r="A456" s="15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 spans="1:30" ht="22.5" customHeight="1" x14ac:dyDescent="0.15">
      <c r="A457" s="15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 spans="1:30" ht="22.5" customHeight="1" x14ac:dyDescent="0.15">
      <c r="A458" s="15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 spans="1:30" ht="22.5" customHeight="1" x14ac:dyDescent="0.15">
      <c r="A459" s="15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 spans="1:30" ht="22.5" customHeight="1" x14ac:dyDescent="0.15">
      <c r="A460" s="15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 spans="1:30" ht="22.5" customHeight="1" x14ac:dyDescent="0.15">
      <c r="A461" s="15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 spans="1:30" ht="22.5" customHeight="1" x14ac:dyDescent="0.15">
      <c r="A462" s="15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 spans="1:30" ht="22.5" customHeight="1" x14ac:dyDescent="0.15">
      <c r="A463" s="15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 spans="1:30" ht="22.5" customHeight="1" x14ac:dyDescent="0.15">
      <c r="A464" s="15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 spans="1:30" ht="22.5" customHeight="1" x14ac:dyDescent="0.15">
      <c r="A465" s="15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 spans="1:30" ht="22.5" customHeight="1" x14ac:dyDescent="0.15">
      <c r="A466" s="15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 spans="1:30" ht="22.5" customHeight="1" x14ac:dyDescent="0.15">
      <c r="A467" s="15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 spans="1:30" ht="22.5" customHeight="1" x14ac:dyDescent="0.15">
      <c r="A468" s="15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 spans="1:30" ht="22.5" customHeight="1" x14ac:dyDescent="0.15">
      <c r="A469" s="15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 spans="1:30" ht="22.5" customHeight="1" x14ac:dyDescent="0.15">
      <c r="A470" s="15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 spans="1:30" ht="22.5" customHeight="1" x14ac:dyDescent="0.15">
      <c r="A471" s="15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 spans="1:30" ht="22.5" customHeight="1" x14ac:dyDescent="0.15">
      <c r="A472" s="15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 spans="1:30" ht="22.5" customHeight="1" x14ac:dyDescent="0.15">
      <c r="A473" s="15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 spans="1:30" ht="22.5" customHeight="1" x14ac:dyDescent="0.15">
      <c r="A474" s="15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 spans="1:30" ht="22.5" customHeight="1" x14ac:dyDescent="0.15">
      <c r="A475" s="15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 spans="1:30" ht="22.5" customHeight="1" x14ac:dyDescent="0.15">
      <c r="A476" s="15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 spans="1:30" ht="22.5" customHeight="1" x14ac:dyDescent="0.15">
      <c r="A477" s="15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 spans="1:30" ht="22.5" customHeight="1" x14ac:dyDescent="0.15">
      <c r="A478" s="15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 spans="1:30" ht="22.5" customHeight="1" x14ac:dyDescent="0.15">
      <c r="A479" s="15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 spans="1:30" ht="22.5" customHeight="1" x14ac:dyDescent="0.15">
      <c r="A480" s="15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 spans="1:30" ht="22.5" customHeight="1" x14ac:dyDescent="0.15">
      <c r="A481" s="15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 spans="1:30" ht="22.5" customHeight="1" x14ac:dyDescent="0.15">
      <c r="A482" s="15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 spans="1:30" ht="22.5" customHeight="1" x14ac:dyDescent="0.15">
      <c r="A483" s="15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 spans="1:30" ht="22.5" customHeight="1" x14ac:dyDescent="0.15">
      <c r="A484" s="15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 spans="1:30" ht="22.5" customHeight="1" x14ac:dyDescent="0.15">
      <c r="A485" s="15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 spans="1:30" ht="22.5" customHeight="1" x14ac:dyDescent="0.15">
      <c r="A486" s="15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 spans="1:30" ht="22.5" customHeight="1" x14ac:dyDescent="0.15">
      <c r="A487" s="15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 spans="1:30" ht="22.5" customHeight="1" x14ac:dyDescent="0.15">
      <c r="A488" s="15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 spans="1:30" ht="22.5" customHeight="1" x14ac:dyDescent="0.15">
      <c r="A489" s="15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 spans="1:30" ht="22.5" customHeight="1" x14ac:dyDescent="0.15">
      <c r="A490" s="15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 spans="1:30" ht="22.5" customHeight="1" x14ac:dyDescent="0.15">
      <c r="A491" s="15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 spans="1:30" ht="22.5" customHeight="1" x14ac:dyDescent="0.15">
      <c r="A492" s="15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 spans="1:30" ht="22.5" customHeight="1" x14ac:dyDescent="0.15">
      <c r="A493" s="15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 spans="1:30" ht="22.5" customHeight="1" x14ac:dyDescent="0.15">
      <c r="A494" s="15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 spans="1:30" ht="22.5" customHeight="1" x14ac:dyDescent="0.15">
      <c r="A495" s="15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 spans="1:30" ht="22.5" customHeight="1" x14ac:dyDescent="0.15">
      <c r="A496" s="15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 spans="1:30" ht="22.5" customHeight="1" x14ac:dyDescent="0.15">
      <c r="A497" s="15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 spans="1:30" ht="22.5" customHeight="1" x14ac:dyDescent="0.15">
      <c r="A498" s="15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 spans="1:30" ht="22.5" customHeight="1" x14ac:dyDescent="0.15">
      <c r="A499" s="15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 spans="1:30" ht="22.5" customHeight="1" x14ac:dyDescent="0.15">
      <c r="A500" s="15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 spans="1:30" ht="22.5" customHeight="1" x14ac:dyDescent="0.15">
      <c r="A501" s="15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 spans="1:30" ht="22.5" customHeight="1" x14ac:dyDescent="0.15">
      <c r="A502" s="15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 spans="1:30" ht="22.5" customHeight="1" x14ac:dyDescent="0.15">
      <c r="A503" s="15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 spans="1:30" ht="22.5" customHeight="1" x14ac:dyDescent="0.15">
      <c r="A504" s="15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 spans="1:30" ht="22.5" customHeight="1" x14ac:dyDescent="0.15">
      <c r="A505" s="15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 spans="1:30" ht="22.5" customHeight="1" x14ac:dyDescent="0.15">
      <c r="A506" s="15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 spans="1:30" ht="22.5" customHeight="1" x14ac:dyDescent="0.15">
      <c r="A507" s="15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 spans="1:30" ht="22.5" customHeight="1" x14ac:dyDescent="0.15">
      <c r="A508" s="15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 spans="1:30" ht="22.5" customHeight="1" x14ac:dyDescent="0.15">
      <c r="A509" s="15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 spans="1:30" ht="22.5" customHeight="1" x14ac:dyDescent="0.15">
      <c r="A510" s="15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 spans="1:30" ht="22.5" customHeight="1" x14ac:dyDescent="0.15">
      <c r="A511" s="15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 spans="1:30" ht="22.5" customHeight="1" x14ac:dyDescent="0.15">
      <c r="A512" s="15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 spans="1:30" ht="22.5" customHeight="1" x14ac:dyDescent="0.15">
      <c r="A513" s="15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 spans="1:30" ht="22.5" customHeight="1" x14ac:dyDescent="0.15">
      <c r="A514" s="15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 spans="1:30" ht="22.5" customHeight="1" x14ac:dyDescent="0.15">
      <c r="A515" s="15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 spans="1:30" ht="22.5" customHeight="1" x14ac:dyDescent="0.15">
      <c r="A516" s="15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 spans="1:30" ht="22.5" customHeight="1" x14ac:dyDescent="0.15">
      <c r="A517" s="15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 spans="1:30" ht="22.5" customHeight="1" x14ac:dyDescent="0.15">
      <c r="A518" s="15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 spans="1:30" ht="22.5" customHeight="1" x14ac:dyDescent="0.15">
      <c r="A519" s="15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 spans="1:30" ht="22.5" customHeight="1" x14ac:dyDescent="0.15">
      <c r="A520" s="15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 spans="1:30" ht="22.5" customHeight="1" x14ac:dyDescent="0.15">
      <c r="A521" s="15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 spans="1:30" ht="22.5" customHeight="1" x14ac:dyDescent="0.15">
      <c r="A522" s="15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 spans="1:30" ht="22.5" customHeight="1" x14ac:dyDescent="0.15">
      <c r="A523" s="15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 spans="1:30" ht="22.5" customHeight="1" x14ac:dyDescent="0.15">
      <c r="A524" s="15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 spans="1:30" ht="22.5" customHeight="1" x14ac:dyDescent="0.15">
      <c r="A525" s="15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 spans="1:30" ht="22.5" customHeight="1" x14ac:dyDescent="0.15">
      <c r="A526" s="15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 spans="1:30" ht="22.5" customHeight="1" x14ac:dyDescent="0.15">
      <c r="A527" s="15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 spans="1:30" ht="22.5" customHeight="1" x14ac:dyDescent="0.15">
      <c r="A528" s="15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 spans="1:30" ht="22.5" customHeight="1" x14ac:dyDescent="0.15">
      <c r="A529" s="15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 spans="1:30" ht="22.5" customHeight="1" x14ac:dyDescent="0.15">
      <c r="A530" s="15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 spans="1:30" ht="22.5" customHeight="1" x14ac:dyDescent="0.15">
      <c r="A531" s="15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 spans="1:30" ht="22.5" customHeight="1" x14ac:dyDescent="0.15">
      <c r="A532" s="15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 spans="1:30" ht="22.5" customHeight="1" x14ac:dyDescent="0.15">
      <c r="A533" s="15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 spans="1:30" ht="22.5" customHeight="1" x14ac:dyDescent="0.15">
      <c r="A534" s="15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 spans="1:30" ht="22.5" customHeight="1" x14ac:dyDescent="0.15">
      <c r="A535" s="15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 spans="1:30" ht="22.5" customHeight="1" x14ac:dyDescent="0.15">
      <c r="A536" s="15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 spans="1:30" ht="22.5" customHeight="1" x14ac:dyDescent="0.15">
      <c r="A537" s="15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 spans="1:30" ht="22.5" customHeight="1" x14ac:dyDescent="0.15">
      <c r="A538" s="15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 spans="1:30" ht="22.5" customHeight="1" x14ac:dyDescent="0.15">
      <c r="A539" s="15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 spans="1:30" ht="22.5" customHeight="1" x14ac:dyDescent="0.15">
      <c r="A540" s="15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 spans="1:30" ht="22.5" customHeight="1" x14ac:dyDescent="0.15">
      <c r="A541" s="15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 spans="1:30" ht="22.5" customHeight="1" x14ac:dyDescent="0.15">
      <c r="A542" s="15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 spans="1:30" ht="22.5" customHeight="1" x14ac:dyDescent="0.15">
      <c r="A543" s="15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 spans="1:30" ht="22.5" customHeight="1" x14ac:dyDescent="0.15">
      <c r="A544" s="15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 spans="1:30" ht="22.5" customHeight="1" x14ac:dyDescent="0.15">
      <c r="A545" s="15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 spans="1:30" ht="22.5" customHeight="1" x14ac:dyDescent="0.15">
      <c r="A546" s="15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 spans="1:30" ht="22.5" customHeight="1" x14ac:dyDescent="0.15">
      <c r="A547" s="15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 spans="1:30" ht="22.5" customHeight="1" x14ac:dyDescent="0.15">
      <c r="A548" s="15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 spans="1:30" ht="22.5" customHeight="1" x14ac:dyDescent="0.15">
      <c r="A549" s="15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 spans="1:30" ht="22.5" customHeight="1" x14ac:dyDescent="0.15">
      <c r="A550" s="15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 spans="1:30" ht="22.5" customHeight="1" x14ac:dyDescent="0.15">
      <c r="A551" s="15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 spans="1:30" ht="22.5" customHeight="1" x14ac:dyDescent="0.15">
      <c r="A552" s="15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 spans="1:30" ht="22.5" customHeight="1" x14ac:dyDescent="0.15">
      <c r="A553" s="15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 spans="1:30" ht="22.5" customHeight="1" x14ac:dyDescent="0.15">
      <c r="A554" s="15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 spans="1:30" ht="22.5" customHeight="1" x14ac:dyDescent="0.15">
      <c r="A555" s="15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 spans="1:30" ht="22.5" customHeight="1" x14ac:dyDescent="0.15">
      <c r="A556" s="15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 spans="1:30" ht="22.5" customHeight="1" x14ac:dyDescent="0.15">
      <c r="A557" s="15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 spans="1:30" ht="22.5" customHeight="1" x14ac:dyDescent="0.15">
      <c r="A558" s="15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 spans="1:30" ht="22.5" customHeight="1" x14ac:dyDescent="0.15">
      <c r="A559" s="15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 spans="1:30" ht="22.5" customHeight="1" x14ac:dyDescent="0.15">
      <c r="A560" s="15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 spans="1:30" ht="22.5" customHeight="1" x14ac:dyDescent="0.15">
      <c r="A561" s="15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 spans="1:30" ht="22.5" customHeight="1" x14ac:dyDescent="0.15">
      <c r="A562" s="15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 spans="1:30" ht="22.5" customHeight="1" x14ac:dyDescent="0.15">
      <c r="A563" s="15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 spans="1:30" ht="22.5" customHeight="1" x14ac:dyDescent="0.15">
      <c r="A564" s="15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 spans="1:30" ht="22.5" customHeight="1" x14ac:dyDescent="0.15">
      <c r="A565" s="15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 spans="1:30" ht="22.5" customHeight="1" x14ac:dyDescent="0.15">
      <c r="A566" s="15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 spans="1:30" ht="22.5" customHeight="1" x14ac:dyDescent="0.15">
      <c r="A567" s="15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 spans="1:30" ht="22.5" customHeight="1" x14ac:dyDescent="0.15">
      <c r="A568" s="15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 spans="1:30" ht="22.5" customHeight="1" x14ac:dyDescent="0.15">
      <c r="A569" s="15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 spans="1:30" ht="22.5" customHeight="1" x14ac:dyDescent="0.15">
      <c r="A570" s="15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 spans="1:30" ht="22.5" customHeight="1" x14ac:dyDescent="0.15">
      <c r="A571" s="15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 spans="1:30" ht="22.5" customHeight="1" x14ac:dyDescent="0.15">
      <c r="A572" s="15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 spans="1:30" ht="22.5" customHeight="1" x14ac:dyDescent="0.15">
      <c r="A573" s="15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 spans="1:30" ht="22.5" customHeight="1" x14ac:dyDescent="0.15">
      <c r="A574" s="15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 spans="1:30" ht="22.5" customHeight="1" x14ac:dyDescent="0.15">
      <c r="A575" s="15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 spans="1:30" ht="22.5" customHeight="1" x14ac:dyDescent="0.15">
      <c r="A576" s="15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 spans="1:30" ht="22.5" customHeight="1" x14ac:dyDescent="0.15">
      <c r="A577" s="15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 spans="1:30" ht="22.5" customHeight="1" x14ac:dyDescent="0.15">
      <c r="A578" s="15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 spans="1:30" ht="22.5" customHeight="1" x14ac:dyDescent="0.15">
      <c r="A579" s="15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 spans="1:30" ht="22.5" customHeight="1" x14ac:dyDescent="0.15">
      <c r="A580" s="15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 spans="1:30" ht="22.5" customHeight="1" x14ac:dyDescent="0.15">
      <c r="A581" s="15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 spans="1:30" ht="22.5" customHeight="1" x14ac:dyDescent="0.15">
      <c r="A582" s="15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 spans="1:30" ht="22.5" customHeight="1" x14ac:dyDescent="0.15">
      <c r="A583" s="15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 spans="1:30" ht="22.5" customHeight="1" x14ac:dyDescent="0.15">
      <c r="A584" s="15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 spans="1:30" ht="22.5" customHeight="1" x14ac:dyDescent="0.15">
      <c r="A585" s="15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 spans="1:30" ht="22.5" customHeight="1" x14ac:dyDescent="0.15">
      <c r="A586" s="15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 spans="1:30" ht="22.5" customHeight="1" x14ac:dyDescent="0.15">
      <c r="A587" s="15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 spans="1:30" ht="22.5" customHeight="1" x14ac:dyDescent="0.15">
      <c r="A588" s="15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 spans="1:30" ht="22.5" customHeight="1" x14ac:dyDescent="0.15">
      <c r="A589" s="15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 spans="1:30" ht="22.5" customHeight="1" x14ac:dyDescent="0.15">
      <c r="A590" s="15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 spans="1:30" ht="22.5" customHeight="1" x14ac:dyDescent="0.15">
      <c r="A591" s="15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 spans="1:30" ht="22.5" customHeight="1" x14ac:dyDescent="0.15">
      <c r="A592" s="15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 spans="1:30" ht="22.5" customHeight="1" x14ac:dyDescent="0.15">
      <c r="A593" s="15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 spans="1:30" ht="22.5" customHeight="1" x14ac:dyDescent="0.15">
      <c r="A594" s="15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 spans="1:30" ht="22.5" customHeight="1" x14ac:dyDescent="0.15">
      <c r="A595" s="15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 spans="1:30" ht="22.5" customHeight="1" x14ac:dyDescent="0.15">
      <c r="A596" s="15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 spans="1:30" ht="22.5" customHeight="1" x14ac:dyDescent="0.15">
      <c r="A597" s="15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 spans="1:30" ht="22.5" customHeight="1" x14ac:dyDescent="0.15">
      <c r="A598" s="15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 spans="1:30" ht="22.5" customHeight="1" x14ac:dyDescent="0.15">
      <c r="A599" s="15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 spans="1:30" ht="22.5" customHeight="1" x14ac:dyDescent="0.15">
      <c r="A600" s="15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 spans="1:30" ht="22.5" customHeight="1" x14ac:dyDescent="0.15">
      <c r="A601" s="15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 spans="1:30" ht="22.5" customHeight="1" x14ac:dyDescent="0.15">
      <c r="A602" s="15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 spans="1:30" ht="22.5" customHeight="1" x14ac:dyDescent="0.15">
      <c r="A603" s="15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 spans="1:30" ht="22.5" customHeight="1" x14ac:dyDescent="0.15">
      <c r="A604" s="15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 spans="1:30" ht="22.5" customHeight="1" x14ac:dyDescent="0.15">
      <c r="A605" s="15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 spans="1:30" ht="22.5" customHeight="1" x14ac:dyDescent="0.15">
      <c r="A606" s="15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 spans="1:30" ht="22.5" customHeight="1" x14ac:dyDescent="0.15">
      <c r="A607" s="15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 spans="1:30" ht="22.5" customHeight="1" x14ac:dyDescent="0.15">
      <c r="A608" s="15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 spans="1:30" ht="22.5" customHeight="1" x14ac:dyDescent="0.15">
      <c r="A609" s="15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 spans="1:30" ht="22.5" customHeight="1" x14ac:dyDescent="0.15">
      <c r="A610" s="15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 spans="1:30" ht="22.5" customHeight="1" x14ac:dyDescent="0.15">
      <c r="A611" s="15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 spans="1:30" ht="22.5" customHeight="1" x14ac:dyDescent="0.15">
      <c r="A612" s="15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 spans="1:30" ht="22.5" customHeight="1" x14ac:dyDescent="0.15">
      <c r="A613" s="15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 spans="1:30" ht="22.5" customHeight="1" x14ac:dyDescent="0.15">
      <c r="A614" s="15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 spans="1:30" ht="22.5" customHeight="1" x14ac:dyDescent="0.15">
      <c r="A615" s="15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 spans="1:30" ht="22.5" customHeight="1" x14ac:dyDescent="0.15">
      <c r="A616" s="15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 spans="1:30" ht="22.5" customHeight="1" x14ac:dyDescent="0.15">
      <c r="A617" s="15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 spans="1:30" ht="22.5" customHeight="1" x14ac:dyDescent="0.15">
      <c r="A618" s="15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 spans="1:30" ht="22.5" customHeight="1" x14ac:dyDescent="0.15">
      <c r="A619" s="15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 spans="1:30" ht="22.5" customHeight="1" x14ac:dyDescent="0.15">
      <c r="A620" s="15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 spans="1:30" ht="22.5" customHeight="1" x14ac:dyDescent="0.15">
      <c r="A621" s="15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 spans="1:30" ht="22.5" customHeight="1" x14ac:dyDescent="0.15">
      <c r="A622" s="15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 spans="1:30" ht="22.5" customHeight="1" x14ac:dyDescent="0.15">
      <c r="A623" s="15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 spans="1:30" ht="22.5" customHeight="1" x14ac:dyDescent="0.15">
      <c r="A624" s="15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 spans="1:30" ht="22.5" customHeight="1" x14ac:dyDescent="0.15">
      <c r="A625" s="15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 spans="1:30" ht="22.5" customHeight="1" x14ac:dyDescent="0.15">
      <c r="A626" s="15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 spans="1:30" ht="22.5" customHeight="1" x14ac:dyDescent="0.15">
      <c r="A627" s="15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 spans="1:30" ht="22.5" customHeight="1" x14ac:dyDescent="0.15">
      <c r="A628" s="15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 spans="1:30" ht="22.5" customHeight="1" x14ac:dyDescent="0.15">
      <c r="A629" s="15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 spans="1:30" ht="22.5" customHeight="1" x14ac:dyDescent="0.15">
      <c r="A630" s="15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 spans="1:30" ht="22.5" customHeight="1" x14ac:dyDescent="0.15">
      <c r="A631" s="15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 spans="1:30" ht="22.5" customHeight="1" x14ac:dyDescent="0.15">
      <c r="A632" s="15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 spans="1:30" ht="22.5" customHeight="1" x14ac:dyDescent="0.15">
      <c r="A633" s="15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 spans="1:30" ht="22.5" customHeight="1" x14ac:dyDescent="0.15">
      <c r="A634" s="15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 spans="1:30" ht="22.5" customHeight="1" x14ac:dyDescent="0.15">
      <c r="A635" s="15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 spans="1:30" ht="22.5" customHeight="1" x14ac:dyDescent="0.15">
      <c r="A636" s="15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 spans="1:30" ht="22.5" customHeight="1" x14ac:dyDescent="0.15">
      <c r="A637" s="15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 spans="1:30" ht="22.5" customHeight="1" x14ac:dyDescent="0.15">
      <c r="A638" s="15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 spans="1:30" ht="22.5" customHeight="1" x14ac:dyDescent="0.15">
      <c r="A639" s="15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 spans="1:30" ht="22.5" customHeight="1" x14ac:dyDescent="0.15">
      <c r="A640" s="15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 spans="1:30" ht="22.5" customHeight="1" x14ac:dyDescent="0.15">
      <c r="A641" s="15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 spans="1:30" ht="22.5" customHeight="1" x14ac:dyDescent="0.15">
      <c r="A642" s="15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 spans="1:30" ht="22.5" customHeight="1" x14ac:dyDescent="0.15">
      <c r="A643" s="15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 spans="1:30" ht="22.5" customHeight="1" x14ac:dyDescent="0.15">
      <c r="A644" s="15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 spans="1:30" ht="22.5" customHeight="1" x14ac:dyDescent="0.15">
      <c r="A645" s="15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 spans="1:30" ht="22.5" customHeight="1" x14ac:dyDescent="0.15">
      <c r="A646" s="15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 spans="1:30" ht="22.5" customHeight="1" x14ac:dyDescent="0.15">
      <c r="A647" s="15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 spans="1:30" ht="22.5" customHeight="1" x14ac:dyDescent="0.15">
      <c r="A648" s="15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 spans="1:30" ht="22.5" customHeight="1" x14ac:dyDescent="0.15">
      <c r="A649" s="15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 spans="1:30" ht="22.5" customHeight="1" x14ac:dyDescent="0.15">
      <c r="A650" s="15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 spans="1:30" ht="22.5" customHeight="1" x14ac:dyDescent="0.15">
      <c r="A651" s="15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 spans="1:30" ht="22.5" customHeight="1" x14ac:dyDescent="0.15">
      <c r="A652" s="15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 spans="1:30" ht="22.5" customHeight="1" x14ac:dyDescent="0.15">
      <c r="A653" s="15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 spans="1:30" ht="22.5" customHeight="1" x14ac:dyDescent="0.15">
      <c r="A654" s="15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 spans="1:30" ht="22.5" customHeight="1" x14ac:dyDescent="0.15">
      <c r="A655" s="15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 spans="1:30" ht="22.5" customHeight="1" x14ac:dyDescent="0.15">
      <c r="A656" s="15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 spans="1:30" ht="22.5" customHeight="1" x14ac:dyDescent="0.15">
      <c r="A657" s="15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 spans="1:30" ht="22.5" customHeight="1" x14ac:dyDescent="0.15">
      <c r="A658" s="15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 spans="1:30" ht="22.5" customHeight="1" x14ac:dyDescent="0.15">
      <c r="A659" s="15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 spans="1:30" ht="22.5" customHeight="1" x14ac:dyDescent="0.15">
      <c r="A660" s="15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 spans="1:30" ht="22.5" customHeight="1" x14ac:dyDescent="0.15">
      <c r="A661" s="15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 spans="1:30" ht="22.5" customHeight="1" x14ac:dyDescent="0.15">
      <c r="A662" s="15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 spans="1:30" ht="22.5" customHeight="1" x14ac:dyDescent="0.15">
      <c r="A663" s="15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 spans="1:30" ht="22.5" customHeight="1" x14ac:dyDescent="0.15">
      <c r="A664" s="15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 spans="1:30" ht="22.5" customHeight="1" x14ac:dyDescent="0.15">
      <c r="A665" s="15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 spans="1:30" ht="22.5" customHeight="1" x14ac:dyDescent="0.15">
      <c r="A666" s="15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 spans="1:30" ht="22.5" customHeight="1" x14ac:dyDescent="0.15">
      <c r="A667" s="15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 spans="1:30" ht="22.5" customHeight="1" x14ac:dyDescent="0.15">
      <c r="A668" s="15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 spans="1:30" ht="22.5" customHeight="1" x14ac:dyDescent="0.15">
      <c r="A669" s="15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 spans="1:30" ht="22.5" customHeight="1" x14ac:dyDescent="0.15">
      <c r="A670" s="15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 spans="1:30" ht="22.5" customHeight="1" x14ac:dyDescent="0.15">
      <c r="A671" s="15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 spans="1:30" ht="22.5" customHeight="1" x14ac:dyDescent="0.15">
      <c r="A672" s="15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 spans="1:30" ht="22.5" customHeight="1" x14ac:dyDescent="0.15">
      <c r="A673" s="15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 spans="1:30" ht="22.5" customHeight="1" x14ac:dyDescent="0.15">
      <c r="A674" s="15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 spans="1:30" ht="22.5" customHeight="1" x14ac:dyDescent="0.15">
      <c r="A675" s="15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 spans="1:30" ht="22.5" customHeight="1" x14ac:dyDescent="0.15">
      <c r="A676" s="15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 spans="1:30" ht="22.5" customHeight="1" x14ac:dyDescent="0.15">
      <c r="A677" s="15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 spans="1:30" ht="22.5" customHeight="1" x14ac:dyDescent="0.15">
      <c r="A678" s="15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 spans="1:30" ht="22.5" customHeight="1" x14ac:dyDescent="0.15">
      <c r="A679" s="15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 spans="1:30" ht="22.5" customHeight="1" x14ac:dyDescent="0.15">
      <c r="A680" s="15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 spans="1:30" ht="22.5" customHeight="1" x14ac:dyDescent="0.15">
      <c r="A681" s="15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 spans="1:30" ht="22.5" customHeight="1" x14ac:dyDescent="0.15">
      <c r="A682" s="15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 spans="1:30" ht="22.5" customHeight="1" x14ac:dyDescent="0.15">
      <c r="A683" s="15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 spans="1:30" ht="22.5" customHeight="1" x14ac:dyDescent="0.15">
      <c r="A684" s="15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 spans="1:30" ht="22.5" customHeight="1" x14ac:dyDescent="0.15">
      <c r="A685" s="15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 spans="1:30" ht="22.5" customHeight="1" x14ac:dyDescent="0.15">
      <c r="A686" s="15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 spans="1:30" ht="22.5" customHeight="1" x14ac:dyDescent="0.15">
      <c r="A687" s="15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 spans="1:30" ht="22.5" customHeight="1" x14ac:dyDescent="0.15">
      <c r="A688" s="15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 spans="1:30" ht="22.5" customHeight="1" x14ac:dyDescent="0.15">
      <c r="A689" s="15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 spans="1:30" ht="22.5" customHeight="1" x14ac:dyDescent="0.15">
      <c r="A690" s="15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 spans="1:30" ht="22.5" customHeight="1" x14ac:dyDescent="0.15">
      <c r="A691" s="15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 spans="1:30" ht="22.5" customHeight="1" x14ac:dyDescent="0.15">
      <c r="A692" s="15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 spans="1:30" ht="22.5" customHeight="1" x14ac:dyDescent="0.15">
      <c r="A693" s="15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 spans="1:30" ht="22.5" customHeight="1" x14ac:dyDescent="0.15">
      <c r="A694" s="15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 spans="1:30" ht="22.5" customHeight="1" x14ac:dyDescent="0.15">
      <c r="A695" s="15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 spans="1:30" ht="22.5" customHeight="1" x14ac:dyDescent="0.15">
      <c r="A696" s="15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 spans="1:30" ht="22.5" customHeight="1" x14ac:dyDescent="0.15">
      <c r="A697" s="15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 spans="1:30" ht="22.5" customHeight="1" x14ac:dyDescent="0.15">
      <c r="A698" s="15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 spans="1:30" ht="22.5" customHeight="1" x14ac:dyDescent="0.15">
      <c r="A699" s="15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 spans="1:30" ht="22.5" customHeight="1" x14ac:dyDescent="0.15">
      <c r="A700" s="15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 spans="1:30" ht="22.5" customHeight="1" x14ac:dyDescent="0.15">
      <c r="A701" s="15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 spans="1:30" ht="22.5" customHeight="1" x14ac:dyDescent="0.15">
      <c r="A702" s="15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 spans="1:30" ht="22.5" customHeight="1" x14ac:dyDescent="0.15">
      <c r="A703" s="15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 spans="1:30" ht="22.5" customHeight="1" x14ac:dyDescent="0.15">
      <c r="A704" s="15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 spans="1:30" ht="22.5" customHeight="1" x14ac:dyDescent="0.15">
      <c r="A705" s="15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 spans="1:30" ht="22.5" customHeight="1" x14ac:dyDescent="0.15">
      <c r="A706" s="15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 spans="1:30" ht="22.5" customHeight="1" x14ac:dyDescent="0.15">
      <c r="A707" s="15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 spans="1:30" ht="22.5" customHeight="1" x14ac:dyDescent="0.15">
      <c r="A708" s="15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 spans="1:30" ht="22.5" customHeight="1" x14ac:dyDescent="0.15">
      <c r="A709" s="15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 spans="1:30" ht="22.5" customHeight="1" x14ac:dyDescent="0.15">
      <c r="A710" s="15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 spans="1:30" ht="22.5" customHeight="1" x14ac:dyDescent="0.15">
      <c r="A711" s="15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 spans="1:30" ht="22.5" customHeight="1" x14ac:dyDescent="0.15">
      <c r="A712" s="15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 spans="1:30" ht="22.5" customHeight="1" x14ac:dyDescent="0.15">
      <c r="A713" s="15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 spans="1:30" ht="22.5" customHeight="1" x14ac:dyDescent="0.15">
      <c r="A714" s="15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 spans="1:30" ht="22.5" customHeight="1" x14ac:dyDescent="0.15">
      <c r="A715" s="15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 spans="1:30" ht="22.5" customHeight="1" x14ac:dyDescent="0.15">
      <c r="A716" s="15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 spans="1:30" ht="22.5" customHeight="1" x14ac:dyDescent="0.15">
      <c r="A717" s="15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 spans="1:30" ht="22.5" customHeight="1" x14ac:dyDescent="0.15">
      <c r="A718" s="15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 spans="1:30" ht="22.5" customHeight="1" x14ac:dyDescent="0.15">
      <c r="A719" s="15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 spans="1:30" ht="22.5" customHeight="1" x14ac:dyDescent="0.15">
      <c r="A720" s="15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 spans="1:30" ht="22.5" customHeight="1" x14ac:dyDescent="0.15">
      <c r="A721" s="15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 spans="1:30" ht="22.5" customHeight="1" x14ac:dyDescent="0.15">
      <c r="A722" s="15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 spans="1:30" ht="22.5" customHeight="1" x14ac:dyDescent="0.15">
      <c r="A723" s="15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 spans="1:30" ht="22.5" customHeight="1" x14ac:dyDescent="0.15">
      <c r="A724" s="15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 spans="1:30" ht="22.5" customHeight="1" x14ac:dyDescent="0.15">
      <c r="A725" s="15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 spans="1:30" ht="22.5" customHeight="1" x14ac:dyDescent="0.15">
      <c r="A726" s="15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 spans="1:30" ht="22.5" customHeight="1" x14ac:dyDescent="0.15">
      <c r="A727" s="15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 spans="1:30" ht="22.5" customHeight="1" x14ac:dyDescent="0.15">
      <c r="A728" s="15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 spans="1:30" ht="22.5" customHeight="1" x14ac:dyDescent="0.15">
      <c r="A729" s="15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 spans="1:30" ht="22.5" customHeight="1" x14ac:dyDescent="0.15">
      <c r="A730" s="15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 spans="1:30" ht="22.5" customHeight="1" x14ac:dyDescent="0.15">
      <c r="A731" s="15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 spans="1:30" ht="22.5" customHeight="1" x14ac:dyDescent="0.15">
      <c r="A732" s="15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 spans="1:30" ht="22.5" customHeight="1" x14ac:dyDescent="0.15">
      <c r="A733" s="15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 spans="1:30" ht="22.5" customHeight="1" x14ac:dyDescent="0.15">
      <c r="A734" s="15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 spans="1:30" ht="22.5" customHeight="1" x14ac:dyDescent="0.15">
      <c r="A735" s="15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 spans="1:30" ht="22.5" customHeight="1" x14ac:dyDescent="0.15">
      <c r="A736" s="15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 spans="1:30" ht="22.5" customHeight="1" x14ac:dyDescent="0.15">
      <c r="A737" s="15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 spans="1:30" ht="22.5" customHeight="1" x14ac:dyDescent="0.15">
      <c r="A738" s="15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 spans="1:30" ht="22.5" customHeight="1" x14ac:dyDescent="0.15">
      <c r="A739" s="15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 spans="1:30" ht="22.5" customHeight="1" x14ac:dyDescent="0.15">
      <c r="A740" s="15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 spans="1:30" ht="22.5" customHeight="1" x14ac:dyDescent="0.15">
      <c r="A741" s="15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 spans="1:30" ht="22.5" customHeight="1" x14ac:dyDescent="0.15">
      <c r="A742" s="15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 spans="1:30" ht="22.5" customHeight="1" x14ac:dyDescent="0.15">
      <c r="A743" s="15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 spans="1:30" ht="22.5" customHeight="1" x14ac:dyDescent="0.15">
      <c r="A744" s="15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 spans="1:30" ht="22.5" customHeight="1" x14ac:dyDescent="0.15">
      <c r="A745" s="15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 spans="1:30" ht="22.5" customHeight="1" x14ac:dyDescent="0.15">
      <c r="A746" s="15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 spans="1:30" ht="22.5" customHeight="1" x14ac:dyDescent="0.15">
      <c r="A747" s="15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 spans="1:30" ht="22.5" customHeight="1" x14ac:dyDescent="0.15">
      <c r="A748" s="15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 spans="1:30" ht="22.5" customHeight="1" x14ac:dyDescent="0.15">
      <c r="A749" s="15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 spans="1:30" ht="22.5" customHeight="1" x14ac:dyDescent="0.15">
      <c r="A750" s="15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 spans="1:30" ht="22.5" customHeight="1" x14ac:dyDescent="0.15">
      <c r="A751" s="15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 spans="1:30" ht="22.5" customHeight="1" x14ac:dyDescent="0.15">
      <c r="A752" s="15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 spans="1:30" ht="22.5" customHeight="1" x14ac:dyDescent="0.15">
      <c r="A753" s="15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 spans="1:30" ht="22.5" customHeight="1" x14ac:dyDescent="0.15">
      <c r="A754" s="15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 spans="1:30" ht="22.5" customHeight="1" x14ac:dyDescent="0.15">
      <c r="A755" s="15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 spans="1:30" ht="22.5" customHeight="1" x14ac:dyDescent="0.15">
      <c r="A756" s="15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 spans="1:30" ht="22.5" customHeight="1" x14ac:dyDescent="0.15">
      <c r="A757" s="15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 spans="1:30" ht="22.5" customHeight="1" x14ac:dyDescent="0.15">
      <c r="A758" s="15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 spans="1:30" ht="22.5" customHeight="1" x14ac:dyDescent="0.15">
      <c r="A759" s="15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 spans="1:30" ht="22.5" customHeight="1" x14ac:dyDescent="0.15">
      <c r="A760" s="15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 spans="1:30" ht="22.5" customHeight="1" x14ac:dyDescent="0.15">
      <c r="A761" s="15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 spans="1:30" ht="22.5" customHeight="1" x14ac:dyDescent="0.15">
      <c r="A762" s="15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 spans="1:30" ht="22.5" customHeight="1" x14ac:dyDescent="0.15">
      <c r="A763" s="15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 spans="1:30" ht="22.5" customHeight="1" x14ac:dyDescent="0.15">
      <c r="A764" s="15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 spans="1:30" ht="22.5" customHeight="1" x14ac:dyDescent="0.15">
      <c r="A765" s="15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 spans="1:30" ht="22.5" customHeight="1" x14ac:dyDescent="0.15">
      <c r="A766" s="15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 spans="1:30" ht="22.5" customHeight="1" x14ac:dyDescent="0.15">
      <c r="A767" s="15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 spans="1:30" ht="22.5" customHeight="1" x14ac:dyDescent="0.15">
      <c r="A768" s="15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 spans="1:30" ht="22.5" customHeight="1" x14ac:dyDescent="0.15">
      <c r="A769" s="15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 spans="1:30" ht="22.5" customHeight="1" x14ac:dyDescent="0.15">
      <c r="A770" s="15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 spans="1:30" ht="22.5" customHeight="1" x14ac:dyDescent="0.15">
      <c r="A771" s="15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 spans="1:30" ht="22.5" customHeight="1" x14ac:dyDescent="0.15">
      <c r="A772" s="15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 spans="1:30" ht="22.5" customHeight="1" x14ac:dyDescent="0.15">
      <c r="A773" s="15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 spans="1:30" ht="22.5" customHeight="1" x14ac:dyDescent="0.15">
      <c r="A774" s="15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 spans="1:30" ht="22.5" customHeight="1" x14ac:dyDescent="0.15">
      <c r="A775" s="15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 spans="1:30" ht="22.5" customHeight="1" x14ac:dyDescent="0.15">
      <c r="A776" s="15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 spans="1:30" ht="22.5" customHeight="1" x14ac:dyDescent="0.15">
      <c r="A777" s="15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 spans="1:30" ht="22.5" customHeight="1" x14ac:dyDescent="0.15">
      <c r="A778" s="15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 spans="1:30" ht="22.5" customHeight="1" x14ac:dyDescent="0.15">
      <c r="A779" s="15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 spans="1:30" ht="22.5" customHeight="1" x14ac:dyDescent="0.15">
      <c r="A780" s="15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 spans="1:30" ht="22.5" customHeight="1" x14ac:dyDescent="0.15">
      <c r="A781" s="15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 spans="1:30" ht="22.5" customHeight="1" x14ac:dyDescent="0.15">
      <c r="A782" s="15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 spans="1:30" ht="22.5" customHeight="1" x14ac:dyDescent="0.15">
      <c r="A783" s="15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 spans="1:30" ht="22.5" customHeight="1" x14ac:dyDescent="0.15">
      <c r="A784" s="15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 spans="1:30" ht="22.5" customHeight="1" x14ac:dyDescent="0.15">
      <c r="A785" s="15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 spans="1:30" ht="22.5" customHeight="1" x14ac:dyDescent="0.15">
      <c r="A786" s="15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 spans="1:30" ht="22.5" customHeight="1" x14ac:dyDescent="0.15">
      <c r="A787" s="15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 spans="1:30" ht="22.5" customHeight="1" x14ac:dyDescent="0.15">
      <c r="A788" s="15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 spans="1:30" ht="22.5" customHeight="1" x14ac:dyDescent="0.15">
      <c r="A789" s="15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 spans="1:30" ht="22.5" customHeight="1" x14ac:dyDescent="0.15">
      <c r="A790" s="15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 spans="1:30" ht="22.5" customHeight="1" x14ac:dyDescent="0.15">
      <c r="A791" s="15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 spans="1:30" ht="22.5" customHeight="1" x14ac:dyDescent="0.15">
      <c r="A792" s="15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 spans="1:30" ht="22.5" customHeight="1" x14ac:dyDescent="0.15">
      <c r="A793" s="15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 spans="1:30" ht="22.5" customHeight="1" x14ac:dyDescent="0.15">
      <c r="A794" s="15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 spans="1:30" ht="22.5" customHeight="1" x14ac:dyDescent="0.15">
      <c r="A795" s="15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 spans="1:30" ht="22.5" customHeight="1" x14ac:dyDescent="0.15">
      <c r="A796" s="15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 spans="1:30" ht="22.5" customHeight="1" x14ac:dyDescent="0.15">
      <c r="A797" s="15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 spans="1:30" ht="22.5" customHeight="1" x14ac:dyDescent="0.15">
      <c r="A798" s="15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 spans="1:30" ht="22.5" customHeight="1" x14ac:dyDescent="0.15">
      <c r="A799" s="15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 spans="1:30" ht="22.5" customHeight="1" x14ac:dyDescent="0.15">
      <c r="A800" s="15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 spans="1:30" ht="22.5" customHeight="1" x14ac:dyDescent="0.15">
      <c r="A801" s="15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 spans="1:30" ht="22.5" customHeight="1" x14ac:dyDescent="0.15">
      <c r="A802" s="15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 spans="1:30" ht="22.5" customHeight="1" x14ac:dyDescent="0.15">
      <c r="A803" s="15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 spans="1:30" ht="22.5" customHeight="1" x14ac:dyDescent="0.15">
      <c r="A804" s="15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 spans="1:30" ht="22.5" customHeight="1" x14ac:dyDescent="0.15">
      <c r="A805" s="15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 spans="1:30" ht="22.5" customHeight="1" x14ac:dyDescent="0.15">
      <c r="A806" s="15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 spans="1:30" ht="22.5" customHeight="1" x14ac:dyDescent="0.15">
      <c r="A807" s="15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 spans="1:30" ht="22.5" customHeight="1" x14ac:dyDescent="0.15">
      <c r="A808" s="15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 spans="1:30" ht="22.5" customHeight="1" x14ac:dyDescent="0.15">
      <c r="A809" s="15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 spans="1:30" ht="22.5" customHeight="1" x14ac:dyDescent="0.15">
      <c r="A810" s="15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 spans="1:30" ht="22.5" customHeight="1" x14ac:dyDescent="0.15">
      <c r="A811" s="15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 spans="1:30" ht="22.5" customHeight="1" x14ac:dyDescent="0.15">
      <c r="A812" s="15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 spans="1:30" ht="22.5" customHeight="1" x14ac:dyDescent="0.15">
      <c r="A813" s="15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 spans="1:30" ht="22.5" customHeight="1" x14ac:dyDescent="0.15">
      <c r="A814" s="15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 spans="1:30" ht="22.5" customHeight="1" x14ac:dyDescent="0.15">
      <c r="A815" s="15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 spans="1:30" ht="22.5" customHeight="1" x14ac:dyDescent="0.15">
      <c r="A816" s="15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 spans="1:30" ht="22.5" customHeight="1" x14ac:dyDescent="0.15">
      <c r="A817" s="15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 spans="1:30" ht="22.5" customHeight="1" x14ac:dyDescent="0.15">
      <c r="A818" s="15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 spans="1:30" ht="22.5" customHeight="1" x14ac:dyDescent="0.15">
      <c r="A819" s="15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 spans="1:30" ht="22.5" customHeight="1" x14ac:dyDescent="0.15">
      <c r="A820" s="15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 spans="1:30" ht="22.5" customHeight="1" x14ac:dyDescent="0.15">
      <c r="A821" s="15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 spans="1:30" ht="22.5" customHeight="1" x14ac:dyDescent="0.15">
      <c r="A822" s="15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 spans="1:30" ht="22.5" customHeight="1" x14ac:dyDescent="0.15">
      <c r="A823" s="15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 spans="1:30" ht="22.5" customHeight="1" x14ac:dyDescent="0.15">
      <c r="A824" s="15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 spans="1:30" ht="22.5" customHeight="1" x14ac:dyDescent="0.15">
      <c r="A825" s="15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 spans="1:30" ht="22.5" customHeight="1" x14ac:dyDescent="0.15">
      <c r="A826" s="15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 spans="1:30" ht="22.5" customHeight="1" x14ac:dyDescent="0.15">
      <c r="A827" s="15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 spans="1:30" ht="22.5" customHeight="1" x14ac:dyDescent="0.15">
      <c r="A828" s="15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 spans="1:30" ht="22.5" customHeight="1" x14ac:dyDescent="0.15">
      <c r="A829" s="15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 spans="1:30" ht="22.5" customHeight="1" x14ac:dyDescent="0.15">
      <c r="A830" s="15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 spans="1:30" ht="22.5" customHeight="1" x14ac:dyDescent="0.15">
      <c r="A831" s="15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 spans="1:30" ht="22.5" customHeight="1" x14ac:dyDescent="0.15">
      <c r="A832" s="15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 spans="1:30" ht="22.5" customHeight="1" x14ac:dyDescent="0.15">
      <c r="A833" s="15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 spans="1:30" ht="22.5" customHeight="1" x14ac:dyDescent="0.15">
      <c r="A834" s="15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 spans="1:30" ht="22.5" customHeight="1" x14ac:dyDescent="0.15">
      <c r="A835" s="15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 spans="1:30" ht="22.5" customHeight="1" x14ac:dyDescent="0.15">
      <c r="A836" s="15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 spans="1:30" ht="22.5" customHeight="1" x14ac:dyDescent="0.15">
      <c r="A837" s="15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 spans="1:30" ht="22.5" customHeight="1" x14ac:dyDescent="0.15">
      <c r="A838" s="15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 spans="1:30" ht="22.5" customHeight="1" x14ac:dyDescent="0.15">
      <c r="A839" s="15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 spans="1:30" ht="22.5" customHeight="1" x14ac:dyDescent="0.15">
      <c r="A840" s="15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 spans="1:30" ht="22.5" customHeight="1" x14ac:dyDescent="0.15">
      <c r="A841" s="15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 spans="1:30" ht="22.5" customHeight="1" x14ac:dyDescent="0.15">
      <c r="A842" s="15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 spans="1:30" ht="22.5" customHeight="1" x14ac:dyDescent="0.15">
      <c r="A843" s="15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 spans="1:30" ht="22.5" customHeight="1" x14ac:dyDescent="0.15">
      <c r="A844" s="15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 spans="1:30" ht="22.5" customHeight="1" x14ac:dyDescent="0.15">
      <c r="A845" s="15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 spans="1:30" ht="22.5" customHeight="1" x14ac:dyDescent="0.15">
      <c r="A846" s="15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 spans="1:30" ht="22.5" customHeight="1" x14ac:dyDescent="0.15">
      <c r="A847" s="15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 spans="1:30" ht="22.5" customHeight="1" x14ac:dyDescent="0.15">
      <c r="A848" s="15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 spans="1:30" ht="22.5" customHeight="1" x14ac:dyDescent="0.15">
      <c r="A849" s="15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 spans="1:30" ht="22.5" customHeight="1" x14ac:dyDescent="0.15">
      <c r="A850" s="15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 spans="1:30" ht="22.5" customHeight="1" x14ac:dyDescent="0.15">
      <c r="A851" s="15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 spans="1:30" ht="22.5" customHeight="1" x14ac:dyDescent="0.15">
      <c r="A852" s="15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 spans="1:30" ht="22.5" customHeight="1" x14ac:dyDescent="0.15">
      <c r="A853" s="15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 spans="1:30" ht="22.5" customHeight="1" x14ac:dyDescent="0.15">
      <c r="A854" s="15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 spans="1:30" ht="22.5" customHeight="1" x14ac:dyDescent="0.15">
      <c r="A855" s="15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 spans="1:30" ht="22.5" customHeight="1" x14ac:dyDescent="0.15">
      <c r="A856" s="15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 spans="1:30" ht="22.5" customHeight="1" x14ac:dyDescent="0.15">
      <c r="A857" s="15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 spans="1:30" ht="22.5" customHeight="1" x14ac:dyDescent="0.15">
      <c r="A858" s="15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 spans="1:30" ht="22.5" customHeight="1" x14ac:dyDescent="0.15">
      <c r="A859" s="15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 spans="1:30" ht="22.5" customHeight="1" x14ac:dyDescent="0.15">
      <c r="A860" s="15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 spans="1:30" ht="22.5" customHeight="1" x14ac:dyDescent="0.15">
      <c r="A861" s="15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 spans="1:30" ht="22.5" customHeight="1" x14ac:dyDescent="0.15">
      <c r="A862" s="15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 spans="1:30" ht="22.5" customHeight="1" x14ac:dyDescent="0.15">
      <c r="A863" s="15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 spans="1:30" ht="22.5" customHeight="1" x14ac:dyDescent="0.15">
      <c r="A864" s="15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 spans="1:30" ht="22.5" customHeight="1" x14ac:dyDescent="0.15">
      <c r="A865" s="15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 spans="1:30" ht="22.5" customHeight="1" x14ac:dyDescent="0.15">
      <c r="A866" s="15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 spans="1:30" ht="22.5" customHeight="1" x14ac:dyDescent="0.15">
      <c r="A867" s="15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 spans="1:30" ht="22.5" customHeight="1" x14ac:dyDescent="0.15">
      <c r="A868" s="15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 spans="1:30" ht="22.5" customHeight="1" x14ac:dyDescent="0.15">
      <c r="A869" s="15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 spans="1:30" ht="22.5" customHeight="1" x14ac:dyDescent="0.15">
      <c r="A870" s="15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 spans="1:30" ht="22.5" customHeight="1" x14ac:dyDescent="0.15">
      <c r="A871" s="15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 spans="1:30" ht="22.5" customHeight="1" x14ac:dyDescent="0.15">
      <c r="A872" s="15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 spans="1:30" ht="22.5" customHeight="1" x14ac:dyDescent="0.15">
      <c r="A873" s="15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 spans="1:30" ht="22.5" customHeight="1" x14ac:dyDescent="0.15">
      <c r="A874" s="15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 spans="1:30" ht="22.5" customHeight="1" x14ac:dyDescent="0.15">
      <c r="A875" s="15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 spans="1:30" ht="22.5" customHeight="1" x14ac:dyDescent="0.15">
      <c r="A876" s="15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 spans="1:30" ht="22.5" customHeight="1" x14ac:dyDescent="0.15">
      <c r="A877" s="15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 spans="1:30" ht="22.5" customHeight="1" x14ac:dyDescent="0.15">
      <c r="A878" s="15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 spans="1:30" ht="22.5" customHeight="1" x14ac:dyDescent="0.15">
      <c r="A879" s="15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 spans="1:30" ht="22.5" customHeight="1" x14ac:dyDescent="0.15">
      <c r="A880" s="15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 spans="1:30" ht="22.5" customHeight="1" x14ac:dyDescent="0.15">
      <c r="A881" s="15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 spans="1:30" ht="22.5" customHeight="1" x14ac:dyDescent="0.15">
      <c r="A882" s="15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 spans="1:30" ht="22.5" customHeight="1" x14ac:dyDescent="0.15">
      <c r="A883" s="15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 spans="1:30" ht="22.5" customHeight="1" x14ac:dyDescent="0.15">
      <c r="A884" s="15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 spans="1:30" ht="22.5" customHeight="1" x14ac:dyDescent="0.15">
      <c r="A885" s="15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 spans="1:30" ht="22.5" customHeight="1" x14ac:dyDescent="0.15">
      <c r="A886" s="15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 spans="1:30" ht="22.5" customHeight="1" x14ac:dyDescent="0.15">
      <c r="A887" s="15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 spans="1:30" ht="22.5" customHeight="1" x14ac:dyDescent="0.15">
      <c r="A888" s="15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 spans="1:30" ht="22.5" customHeight="1" x14ac:dyDescent="0.15">
      <c r="A889" s="15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 spans="1:30" ht="22.5" customHeight="1" x14ac:dyDescent="0.15">
      <c r="A890" s="15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 spans="1:30" ht="22.5" customHeight="1" x14ac:dyDescent="0.15">
      <c r="A891" s="15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 spans="1:30" ht="22.5" customHeight="1" x14ac:dyDescent="0.15">
      <c r="A892" s="15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 spans="1:30" ht="22.5" customHeight="1" x14ac:dyDescent="0.15">
      <c r="A893" s="15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 spans="1:30" ht="22.5" customHeight="1" x14ac:dyDescent="0.15">
      <c r="A894" s="15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 spans="1:30" ht="22.5" customHeight="1" x14ac:dyDescent="0.15">
      <c r="A895" s="15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 spans="1:30" ht="22.5" customHeight="1" x14ac:dyDescent="0.15">
      <c r="A896" s="15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 spans="1:30" ht="22.5" customHeight="1" x14ac:dyDescent="0.15">
      <c r="A897" s="15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 spans="1:30" ht="22.5" customHeight="1" x14ac:dyDescent="0.15">
      <c r="A898" s="15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 spans="1:30" ht="22.5" customHeight="1" x14ac:dyDescent="0.15">
      <c r="A899" s="15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 spans="1:30" ht="22.5" customHeight="1" x14ac:dyDescent="0.15">
      <c r="A900" s="15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 spans="1:30" ht="22.5" customHeight="1" x14ac:dyDescent="0.15">
      <c r="A901" s="15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 spans="1:30" ht="22.5" customHeight="1" x14ac:dyDescent="0.15">
      <c r="A902" s="15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 spans="1:30" ht="22.5" customHeight="1" x14ac:dyDescent="0.15">
      <c r="A903" s="15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 spans="1:30" ht="22.5" customHeight="1" x14ac:dyDescent="0.15">
      <c r="A904" s="15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 spans="1:30" ht="22.5" customHeight="1" x14ac:dyDescent="0.15">
      <c r="A905" s="15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 spans="1:30" ht="22.5" customHeight="1" x14ac:dyDescent="0.15">
      <c r="A906" s="15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 spans="1:30" ht="22.5" customHeight="1" x14ac:dyDescent="0.15">
      <c r="A907" s="15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 spans="1:30" ht="22.5" customHeight="1" x14ac:dyDescent="0.15">
      <c r="A908" s="15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 spans="1:30" ht="22.5" customHeight="1" x14ac:dyDescent="0.15">
      <c r="A909" s="15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 spans="1:30" ht="22.5" customHeight="1" x14ac:dyDescent="0.15">
      <c r="A910" s="15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 spans="1:30" ht="22.5" customHeight="1" x14ac:dyDescent="0.15">
      <c r="A911" s="15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 spans="1:30" ht="22.5" customHeight="1" x14ac:dyDescent="0.15">
      <c r="A912" s="15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 spans="1:30" ht="22.5" customHeight="1" x14ac:dyDescent="0.15">
      <c r="A913" s="15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 spans="1:30" ht="22.5" customHeight="1" x14ac:dyDescent="0.15">
      <c r="A914" s="15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 spans="1:30" ht="22.5" customHeight="1" x14ac:dyDescent="0.15">
      <c r="A915" s="15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 spans="1:30" ht="22.5" customHeight="1" x14ac:dyDescent="0.15">
      <c r="A916" s="15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 spans="1:30" ht="22.5" customHeight="1" x14ac:dyDescent="0.15">
      <c r="A917" s="15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 spans="1:30" ht="22.5" customHeight="1" x14ac:dyDescent="0.15">
      <c r="A918" s="15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 spans="1:30" ht="22.5" customHeight="1" x14ac:dyDescent="0.15">
      <c r="A919" s="15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 spans="1:30" ht="22.5" customHeight="1" x14ac:dyDescent="0.15">
      <c r="A920" s="15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 spans="1:30" ht="22.5" customHeight="1" x14ac:dyDescent="0.15">
      <c r="A921" s="15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 spans="1:30" ht="22.5" customHeight="1" x14ac:dyDescent="0.15">
      <c r="A922" s="15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 spans="1:30" ht="22.5" customHeight="1" x14ac:dyDescent="0.15">
      <c r="A923" s="15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 spans="1:30" ht="22.5" customHeight="1" x14ac:dyDescent="0.15">
      <c r="A924" s="15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 spans="1:30" ht="22.5" customHeight="1" x14ac:dyDescent="0.15">
      <c r="A925" s="15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 spans="1:30" ht="22.5" customHeight="1" x14ac:dyDescent="0.15">
      <c r="A926" s="15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 spans="1:30" ht="22.5" customHeight="1" x14ac:dyDescent="0.15">
      <c r="A927" s="1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 spans="1:30" ht="22.5" customHeight="1" x14ac:dyDescent="0.15">
      <c r="A928" s="15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 spans="1:30" ht="22.5" customHeight="1" x14ac:dyDescent="0.15">
      <c r="A929" s="15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 spans="1:30" ht="22.5" customHeight="1" x14ac:dyDescent="0.15">
      <c r="A930" s="15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 spans="1:30" ht="22.5" customHeight="1" x14ac:dyDescent="0.15">
      <c r="A931" s="15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 spans="1:30" ht="22.5" customHeight="1" x14ac:dyDescent="0.15">
      <c r="A932" s="15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 spans="1:30" ht="22.5" customHeight="1" x14ac:dyDescent="0.15">
      <c r="A933" s="15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 spans="1:30" ht="22.5" customHeight="1" x14ac:dyDescent="0.15">
      <c r="A934" s="15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 spans="1:30" ht="22.5" customHeight="1" x14ac:dyDescent="0.15">
      <c r="A935" s="15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 spans="1:30" ht="22.5" customHeight="1" x14ac:dyDescent="0.15">
      <c r="A936" s="15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 spans="1:30" ht="22.5" customHeight="1" x14ac:dyDescent="0.15">
      <c r="A937" s="15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 spans="1:30" ht="22.5" customHeight="1" x14ac:dyDescent="0.15">
      <c r="A938" s="15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 spans="1:30" ht="22.5" customHeight="1" x14ac:dyDescent="0.15">
      <c r="A939" s="15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 spans="1:30" ht="22.5" customHeight="1" x14ac:dyDescent="0.15">
      <c r="A940" s="15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 spans="1:30" ht="22.5" customHeight="1" x14ac:dyDescent="0.15">
      <c r="A941" s="15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 spans="1:30" ht="22.5" customHeight="1" x14ac:dyDescent="0.15">
      <c r="A942" s="15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 spans="1:30" ht="22.5" customHeight="1" x14ac:dyDescent="0.15">
      <c r="A943" s="15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 spans="1:30" ht="22.5" customHeight="1" x14ac:dyDescent="0.15">
      <c r="A944" s="15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 spans="1:30" ht="22.5" customHeight="1" x14ac:dyDescent="0.15">
      <c r="A945" s="15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 spans="1:30" ht="22.5" customHeight="1" x14ac:dyDescent="0.15">
      <c r="A946" s="15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 spans="1:30" ht="22.5" customHeight="1" x14ac:dyDescent="0.15">
      <c r="A947" s="15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 spans="1:30" ht="22.5" customHeight="1" x14ac:dyDescent="0.15">
      <c r="A948" s="15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 spans="1:30" ht="22.5" customHeight="1" x14ac:dyDescent="0.15">
      <c r="A949" s="15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 spans="1:30" ht="22.5" customHeight="1" x14ac:dyDescent="0.15">
      <c r="A950" s="15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 spans="1:30" ht="22.5" customHeight="1" x14ac:dyDescent="0.15">
      <c r="A951" s="15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 spans="1:30" ht="22.5" customHeight="1" x14ac:dyDescent="0.15">
      <c r="A952" s="15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 spans="1:30" ht="22.5" customHeight="1" x14ac:dyDescent="0.15">
      <c r="A953" s="15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 spans="1:30" ht="22.5" customHeight="1" x14ac:dyDescent="0.15">
      <c r="A954" s="15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 spans="1:30" ht="22.5" customHeight="1" x14ac:dyDescent="0.15">
      <c r="A955" s="15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 spans="1:30" ht="22.5" customHeight="1" x14ac:dyDescent="0.15">
      <c r="A956" s="15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 spans="1:30" ht="22.5" customHeight="1" x14ac:dyDescent="0.15">
      <c r="A957" s="15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 spans="1:30" ht="22.5" customHeight="1" x14ac:dyDescent="0.15">
      <c r="A958" s="15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 spans="1:30" ht="22.5" customHeight="1" x14ac:dyDescent="0.15">
      <c r="A959" s="15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 spans="1:30" ht="22.5" customHeight="1" x14ac:dyDescent="0.15">
      <c r="A960" s="15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 spans="1:30" ht="22.5" customHeight="1" x14ac:dyDescent="0.15">
      <c r="A961" s="15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 spans="1:30" ht="22.5" customHeight="1" x14ac:dyDescent="0.15">
      <c r="A962" s="15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 spans="1:30" ht="22.5" customHeight="1" x14ac:dyDescent="0.15">
      <c r="A963" s="15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 spans="1:30" ht="22.5" customHeight="1" x14ac:dyDescent="0.15">
      <c r="A964" s="15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 spans="1:30" ht="22.5" customHeight="1" x14ac:dyDescent="0.15">
      <c r="A965" s="15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 spans="1:30" ht="22.5" customHeight="1" x14ac:dyDescent="0.15">
      <c r="A966" s="15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  <row r="967" spans="1:30" ht="22.5" customHeight="1" x14ac:dyDescent="0.15">
      <c r="A967" s="15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</row>
    <row r="968" spans="1:30" ht="22.5" customHeight="1" x14ac:dyDescent="0.15">
      <c r="A968" s="15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</row>
    <row r="969" spans="1:30" ht="22.5" customHeight="1" x14ac:dyDescent="0.15">
      <c r="A969" s="15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</row>
    <row r="970" spans="1:30" ht="22.5" customHeight="1" x14ac:dyDescent="0.15">
      <c r="A970" s="15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</row>
    <row r="971" spans="1:30" ht="22.5" customHeight="1" x14ac:dyDescent="0.15">
      <c r="A971" s="15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</row>
    <row r="972" spans="1:30" ht="22.5" customHeight="1" x14ac:dyDescent="0.15">
      <c r="A972" s="15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</row>
    <row r="973" spans="1:30" ht="22.5" customHeight="1" x14ac:dyDescent="0.15">
      <c r="A973" s="15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</row>
    <row r="974" spans="1:30" ht="22.5" customHeight="1" x14ac:dyDescent="0.15">
      <c r="A974" s="15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</row>
    <row r="975" spans="1:30" ht="22.5" customHeight="1" x14ac:dyDescent="0.15">
      <c r="A975" s="15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</row>
    <row r="976" spans="1:30" ht="22.5" customHeight="1" x14ac:dyDescent="0.15">
      <c r="A976" s="15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</row>
    <row r="977" spans="1:30" ht="22.5" customHeight="1" x14ac:dyDescent="0.15">
      <c r="A977" s="15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</row>
    <row r="978" spans="1:30" ht="22.5" customHeight="1" x14ac:dyDescent="0.15">
      <c r="A978" s="15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</row>
    <row r="979" spans="1:30" ht="22.5" customHeight="1" x14ac:dyDescent="0.15">
      <c r="A979" s="15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</row>
    <row r="980" spans="1:30" ht="22.5" customHeight="1" x14ac:dyDescent="0.15">
      <c r="A980" s="15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</row>
    <row r="981" spans="1:30" ht="22.5" customHeight="1" x14ac:dyDescent="0.15">
      <c r="A981" s="15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</row>
    <row r="982" spans="1:30" ht="22.5" customHeight="1" x14ac:dyDescent="0.15">
      <c r="A982" s="15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</row>
    <row r="983" spans="1:30" ht="22.5" customHeight="1" x14ac:dyDescent="0.15">
      <c r="A983" s="15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</row>
    <row r="984" spans="1:30" ht="22.5" customHeight="1" x14ac:dyDescent="0.15">
      <c r="A984" s="15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</row>
    <row r="985" spans="1:30" ht="22.5" customHeight="1" x14ac:dyDescent="0.15">
      <c r="A985" s="15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</row>
    <row r="986" spans="1:30" ht="22.5" customHeight="1" x14ac:dyDescent="0.15">
      <c r="A986" s="15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</row>
    <row r="987" spans="1:30" ht="22.5" customHeight="1" x14ac:dyDescent="0.15">
      <c r="A987" s="15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</row>
    <row r="988" spans="1:30" ht="22.5" customHeight="1" x14ac:dyDescent="0.15">
      <c r="A988" s="15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</row>
    <row r="989" spans="1:30" ht="22.5" customHeight="1" x14ac:dyDescent="0.15">
      <c r="A989" s="15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</row>
    <row r="990" spans="1:30" ht="22.5" customHeight="1" x14ac:dyDescent="0.15">
      <c r="A990" s="15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</row>
    <row r="991" spans="1:30" ht="22.5" customHeight="1" x14ac:dyDescent="0.15">
      <c r="A991" s="15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</row>
    <row r="992" spans="1:30" ht="22.5" customHeight="1" x14ac:dyDescent="0.15">
      <c r="A992" s="15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</row>
    <row r="993" spans="1:30" ht="22.5" customHeight="1" x14ac:dyDescent="0.15">
      <c r="A993" s="15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</row>
    <row r="994" spans="1:30" ht="22.5" customHeight="1" x14ac:dyDescent="0.15">
      <c r="A994" s="15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</row>
    <row r="995" spans="1:30" ht="22.5" customHeight="1" x14ac:dyDescent="0.15">
      <c r="A995" s="15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</row>
    <row r="996" spans="1:30" ht="22.5" customHeight="1" x14ac:dyDescent="0.15">
      <c r="A996" s="15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</row>
    <row r="997" spans="1:30" ht="22.5" customHeight="1" x14ac:dyDescent="0.15">
      <c r="A997" s="15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</row>
    <row r="998" spans="1:30" ht="22.5" customHeight="1" x14ac:dyDescent="0.15">
      <c r="A998" s="15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</row>
    <row r="999" spans="1:30" ht="22.5" customHeight="1" x14ac:dyDescent="0.15">
      <c r="A999" s="15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</row>
    <row r="1000" spans="1:30" ht="22.5" customHeight="1" x14ac:dyDescent="0.15">
      <c r="A1000" s="15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</row>
    <row r="1001" spans="1:30" ht="22.5" customHeight="1" x14ac:dyDescent="0.15">
      <c r="A1001" s="15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</row>
    <row r="1002" spans="1:30" ht="22.5" customHeight="1" x14ac:dyDescent="0.15">
      <c r="A1002" s="15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</row>
    <row r="1003" spans="1:30" ht="22.5" customHeight="1" x14ac:dyDescent="0.15">
      <c r="A1003" s="15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</row>
    <row r="1004" spans="1:30" ht="22.5" customHeight="1" x14ac:dyDescent="0.15">
      <c r="A1004" s="15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</row>
    <row r="1005" spans="1:30" ht="22.5" customHeight="1" x14ac:dyDescent="0.15">
      <c r="A1005" s="15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</row>
    <row r="1006" spans="1:30" ht="22.5" customHeight="1" x14ac:dyDescent="0.15">
      <c r="A1006" s="15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</row>
    <row r="1007" spans="1:30" ht="22.5" customHeight="1" x14ac:dyDescent="0.15">
      <c r="A1007" s="15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</row>
    <row r="1008" spans="1:30" ht="22.5" customHeight="1" x14ac:dyDescent="0.15">
      <c r="A1008" s="15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</row>
    <row r="1009" spans="1:30" ht="22.5" customHeight="1" x14ac:dyDescent="0.15">
      <c r="A1009" s="15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</row>
    <row r="1010" spans="1:30" ht="22.5" customHeight="1" x14ac:dyDescent="0.15">
      <c r="A1010" s="15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</row>
    <row r="1011" spans="1:30" ht="22.5" customHeight="1" x14ac:dyDescent="0.15">
      <c r="A1011" s="15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</row>
    <row r="1012" spans="1:30" ht="22.5" customHeight="1" x14ac:dyDescent="0.15">
      <c r="A1012" s="15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</row>
    <row r="1013" spans="1:30" ht="22.5" customHeight="1" x14ac:dyDescent="0.15">
      <c r="A1013" s="15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</row>
    <row r="1014" spans="1:30" ht="22.5" customHeight="1" x14ac:dyDescent="0.15">
      <c r="A1014" s="15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</row>
  </sheetData>
  <mergeCells count="23">
    <mergeCell ref="K31:L31"/>
    <mergeCell ref="B33:B45"/>
    <mergeCell ref="C48:H48"/>
    <mergeCell ref="C28:E28"/>
    <mergeCell ref="G29:J29"/>
    <mergeCell ref="C31:C32"/>
    <mergeCell ref="D31:G31"/>
    <mergeCell ref="H31:J31"/>
    <mergeCell ref="C23:E23"/>
    <mergeCell ref="G23:J23"/>
    <mergeCell ref="G24:J24"/>
    <mergeCell ref="C26:J26"/>
    <mergeCell ref="C27:E27"/>
    <mergeCell ref="C20:J20"/>
    <mergeCell ref="C21:E21"/>
    <mergeCell ref="G21:J21"/>
    <mergeCell ref="C22:E22"/>
    <mergeCell ref="G22:J22"/>
    <mergeCell ref="C3:J3"/>
    <mergeCell ref="C5:E5"/>
    <mergeCell ref="C17:J17"/>
    <mergeCell ref="C18:E18"/>
    <mergeCell ref="G18:J18"/>
  </mergeCells>
  <conditionalFormatting sqref="D33:G45">
    <cfRule type="colorScale" priority="2">
      <colorScale>
        <cfvo type="min"/>
        <cfvo type="max"/>
        <color rgb="FFF4CCCC"/>
        <color rgb="FFD9EAD3"/>
      </colorScale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16"/>
  <sheetViews>
    <sheetView topLeftCell="C1" zoomScaleNormal="100" workbookViewId="0"/>
  </sheetViews>
  <sheetFormatPr baseColWidth="10" defaultColWidth="12.6640625" defaultRowHeight="13" x14ac:dyDescent="0.15"/>
  <cols>
    <col min="1" max="2" width="3" customWidth="1"/>
    <col min="3" max="12" width="24.6640625" customWidth="1"/>
  </cols>
  <sheetData>
    <row r="1" spans="1:30" ht="22.5" customHeight="1" x14ac:dyDescent="0.1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ht="22.5" customHeight="1" x14ac:dyDescent="0.15">
      <c r="A2" s="15"/>
      <c r="B2" s="16"/>
      <c r="C2" s="17" t="s">
        <v>53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ht="20.25" customHeight="1" x14ac:dyDescent="0.15">
      <c r="A3" s="15"/>
      <c r="B3" s="16"/>
      <c r="C3" s="14" t="s">
        <v>54</v>
      </c>
      <c r="D3" s="14"/>
      <c r="E3" s="14"/>
      <c r="F3" s="14"/>
      <c r="G3" s="14"/>
      <c r="H3" s="14"/>
      <c r="I3" s="14"/>
      <c r="J3" s="14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 ht="22.5" customHeight="1" x14ac:dyDescent="0.15">
      <c r="A4" s="15"/>
      <c r="B4" s="16"/>
      <c r="C4" s="18"/>
      <c r="D4" s="18"/>
      <c r="E4" s="18"/>
      <c r="F4" s="18"/>
      <c r="G4" s="16"/>
      <c r="H4" s="18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 ht="22.5" customHeight="1" x14ac:dyDescent="0.25">
      <c r="A5" s="15"/>
      <c r="B5" s="19"/>
      <c r="C5" s="13" t="s">
        <v>2</v>
      </c>
      <c r="D5" s="13"/>
      <c r="E5" s="13"/>
      <c r="F5" s="20" t="s">
        <v>3</v>
      </c>
      <c r="G5" s="21"/>
      <c r="H5" s="22" t="s">
        <v>4</v>
      </c>
      <c r="I5" s="23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0" ht="22.5" customHeight="1" x14ac:dyDescent="0.25">
      <c r="A6" s="15"/>
      <c r="B6" s="19"/>
      <c r="C6" s="24" t="s">
        <v>5</v>
      </c>
      <c r="D6" s="25"/>
      <c r="E6" s="25"/>
      <c r="F6" s="26">
        <v>8000000</v>
      </c>
      <c r="G6" s="27"/>
      <c r="H6" s="28" t="s">
        <v>6</v>
      </c>
      <c r="I6" s="29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 spans="1:30" ht="22.5" customHeight="1" x14ac:dyDescent="0.15">
      <c r="A7" s="15"/>
      <c r="B7" s="19"/>
      <c r="C7" s="24" t="s">
        <v>7</v>
      </c>
      <c r="D7" s="30"/>
      <c r="E7" s="30"/>
      <c r="F7" s="31">
        <v>1.1608000000000001</v>
      </c>
      <c r="G7" s="32"/>
      <c r="H7" s="112" t="s">
        <v>8</v>
      </c>
      <c r="I7" s="23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spans="1:30" ht="22.5" customHeight="1" x14ac:dyDescent="0.15">
      <c r="A8" s="15"/>
      <c r="B8" s="19"/>
      <c r="C8" s="34" t="s">
        <v>9</v>
      </c>
      <c r="D8" s="35"/>
      <c r="E8" s="35"/>
      <c r="F8" s="36"/>
      <c r="G8" s="23"/>
      <c r="H8" s="37" t="s">
        <v>10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spans="1:30" ht="22.5" customHeight="1" x14ac:dyDescent="0.15">
      <c r="A9" s="15"/>
      <c r="B9" s="19"/>
      <c r="C9" s="24" t="s">
        <v>11</v>
      </c>
      <c r="D9" s="35"/>
      <c r="E9" s="35"/>
      <c r="F9" s="38">
        <v>3.5000000000000003E-2</v>
      </c>
      <c r="G9" s="23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0" ht="22.5" customHeight="1" x14ac:dyDescent="0.15">
      <c r="A10" s="15"/>
      <c r="B10" s="19"/>
      <c r="C10" s="24" t="s">
        <v>12</v>
      </c>
      <c r="D10" s="35"/>
      <c r="E10" s="35"/>
      <c r="F10" s="38">
        <v>2.6499999999999999E-2</v>
      </c>
      <c r="G10" s="23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spans="1:30" ht="22.5" customHeight="1" x14ac:dyDescent="0.15">
      <c r="A11" s="15"/>
      <c r="B11" s="19"/>
      <c r="C11" s="34" t="s">
        <v>13</v>
      </c>
      <c r="D11" s="30"/>
      <c r="E11" s="30"/>
      <c r="F11" s="40"/>
      <c r="G11" s="23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spans="1:30" ht="22.5" customHeight="1" x14ac:dyDescent="0.15">
      <c r="A12" s="15"/>
      <c r="B12" s="19"/>
      <c r="C12" s="24" t="s">
        <v>14</v>
      </c>
      <c r="D12" s="30"/>
      <c r="E12" s="30"/>
      <c r="F12" s="31">
        <v>1.089</v>
      </c>
      <c r="G12" s="23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1:30" ht="22.5" customHeight="1" x14ac:dyDescent="0.15">
      <c r="A13" s="15"/>
      <c r="B13" s="19"/>
      <c r="C13" s="34" t="s">
        <v>15</v>
      </c>
      <c r="D13" s="16"/>
      <c r="E13" s="16"/>
      <c r="F13" s="41"/>
      <c r="G13" s="23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30" ht="22.5" customHeight="1" x14ac:dyDescent="0.25">
      <c r="A14" s="15"/>
      <c r="B14" s="19"/>
      <c r="C14" s="42" t="s">
        <v>55</v>
      </c>
      <c r="D14" s="43"/>
      <c r="E14" s="43"/>
      <c r="F14" s="44">
        <f>F7</f>
        <v>1.1608000000000001</v>
      </c>
      <c r="G14" s="23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spans="1:30" ht="22.5" customHeight="1" x14ac:dyDescent="0.25">
      <c r="A15" s="15"/>
      <c r="B15" s="19"/>
      <c r="C15" s="45" t="s">
        <v>56</v>
      </c>
      <c r="D15" s="46"/>
      <c r="E15" s="46"/>
      <c r="F15" s="47">
        <v>2.5999999999999999E-2</v>
      </c>
      <c r="G15" s="23"/>
      <c r="H15" s="48"/>
      <c r="I15" s="16"/>
      <c r="J15" s="48"/>
      <c r="K15" s="48"/>
      <c r="L15" s="48"/>
      <c r="M15" s="48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spans="1:30" ht="22.5" customHeight="1" x14ac:dyDescent="0.25">
      <c r="A16" s="15"/>
      <c r="B16" s="16"/>
      <c r="C16" s="49" t="s">
        <v>18</v>
      </c>
      <c r="D16" s="50"/>
      <c r="E16" s="50"/>
      <c r="F16" s="51">
        <v>365</v>
      </c>
      <c r="G16" s="52"/>
      <c r="H16" s="53" t="s">
        <v>6</v>
      </c>
      <c r="I16" s="18"/>
      <c r="J16" s="54"/>
      <c r="K16" s="4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spans="1:30" ht="22.5" customHeight="1" x14ac:dyDescent="0.25">
      <c r="A17" s="15"/>
      <c r="B17" s="19"/>
      <c r="C17" s="12" t="s">
        <v>19</v>
      </c>
      <c r="D17" s="12"/>
      <c r="E17" s="12"/>
      <c r="F17" s="12"/>
      <c r="G17" s="12"/>
      <c r="H17" s="12"/>
      <c r="I17" s="12"/>
      <c r="J17" s="12"/>
      <c r="K17" s="23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spans="1:30" ht="22.5" customHeight="1" x14ac:dyDescent="0.15">
      <c r="A18" s="15"/>
      <c r="B18" s="19"/>
      <c r="C18" s="11" t="s">
        <v>57</v>
      </c>
      <c r="D18" s="11"/>
      <c r="E18" s="11"/>
      <c r="F18" s="56">
        <f>contract_notional_value_payable*forward_price_payable</f>
        <v>8712000</v>
      </c>
      <c r="G18" s="10" t="s">
        <v>21</v>
      </c>
      <c r="H18" s="10"/>
      <c r="I18" s="10"/>
      <c r="J18" s="10"/>
      <c r="K18" s="23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spans="1:30" ht="22.5" customHeight="1" x14ac:dyDescent="0.15">
      <c r="A19" s="15"/>
      <c r="B19" s="16"/>
      <c r="C19" s="50"/>
      <c r="D19" s="50"/>
      <c r="E19" s="50"/>
      <c r="F19" s="50"/>
      <c r="G19" s="57"/>
      <c r="H19" s="50"/>
      <c r="I19" s="50"/>
      <c r="J19" s="50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ht="22.5" customHeight="1" x14ac:dyDescent="0.15">
      <c r="A20" s="15"/>
      <c r="B20" s="19"/>
      <c r="C20" s="9" t="s">
        <v>22</v>
      </c>
      <c r="D20" s="9"/>
      <c r="E20" s="9"/>
      <c r="F20" s="9"/>
      <c r="G20" s="9"/>
      <c r="H20" s="9"/>
      <c r="I20" s="9"/>
      <c r="J20" s="9"/>
      <c r="K20" s="23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spans="1:30" ht="22.5" customHeight="1" x14ac:dyDescent="0.15">
      <c r="A21" s="15"/>
      <c r="B21" s="19"/>
      <c r="C21" s="8" t="s">
        <v>58</v>
      </c>
      <c r="D21" s="8"/>
      <c r="E21" s="8"/>
      <c r="F21" s="113">
        <f>contract_notional_value_payable/(1+rate_uk_1y_payable)</f>
        <v>7793472.9663906479</v>
      </c>
      <c r="G21" s="7"/>
      <c r="H21" s="7"/>
      <c r="I21" s="7"/>
      <c r="J21" s="7"/>
      <c r="K21" s="23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 spans="1:30" ht="22.5" customHeight="1" x14ac:dyDescent="0.15">
      <c r="A22" s="15"/>
      <c r="B22" s="19"/>
      <c r="C22" s="8" t="s">
        <v>59</v>
      </c>
      <c r="D22" s="8"/>
      <c r="E22" s="8"/>
      <c r="F22" s="62">
        <f>F21*current_spot_price_payable</f>
        <v>9046663.4193862639</v>
      </c>
      <c r="G22" s="7"/>
      <c r="H22" s="7"/>
      <c r="I22" s="7"/>
      <c r="J22" s="7"/>
      <c r="K22" s="23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ht="22.5" customHeight="1" x14ac:dyDescent="0.15">
      <c r="A23" s="15"/>
      <c r="B23" s="19"/>
      <c r="C23" s="8" t="s">
        <v>60</v>
      </c>
      <c r="D23" s="8"/>
      <c r="E23" s="8"/>
      <c r="F23" s="113">
        <f>F22/current_spot_price_payable</f>
        <v>7793472.966390647</v>
      </c>
      <c r="G23" s="59"/>
      <c r="H23" s="59"/>
      <c r="I23" s="59"/>
      <c r="J23" s="59"/>
      <c r="K23" s="23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spans="1:30" ht="22.5" customHeight="1" x14ac:dyDescent="0.15">
      <c r="A24" s="15"/>
      <c r="B24" s="19"/>
      <c r="C24" s="8" t="s">
        <v>61</v>
      </c>
      <c r="D24" s="8"/>
      <c r="E24" s="8"/>
      <c r="F24" s="113">
        <f>F23*(1+rate_uk_1y_payable)</f>
        <v>7999999.9999999991</v>
      </c>
      <c r="G24" s="59"/>
      <c r="H24" s="59"/>
      <c r="I24" s="59"/>
      <c r="J24" s="59"/>
      <c r="K24" s="23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ht="22.5" customHeight="1" x14ac:dyDescent="0.15">
      <c r="A25" s="15"/>
      <c r="B25" s="19"/>
      <c r="C25" s="8" t="s">
        <v>62</v>
      </c>
      <c r="D25" s="8"/>
      <c r="E25" s="8"/>
      <c r="F25" s="62">
        <f>F22*(1+rate_us_1y_payable)</f>
        <v>9363296.6390647832</v>
      </c>
      <c r="G25" s="7"/>
      <c r="H25" s="7"/>
      <c r="I25" s="7"/>
      <c r="J25" s="7"/>
      <c r="K25" s="23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spans="1:30" ht="22.5" customHeight="1" x14ac:dyDescent="0.15">
      <c r="A26" s="15"/>
      <c r="B26" s="19"/>
      <c r="C26" s="55"/>
      <c r="D26" s="61"/>
      <c r="E26" s="61"/>
      <c r="F26" s="56">
        <f>F25</f>
        <v>9363296.6390647832</v>
      </c>
      <c r="G26" s="10" t="s">
        <v>21</v>
      </c>
      <c r="H26" s="10"/>
      <c r="I26" s="10"/>
      <c r="J26" s="10"/>
      <c r="K26" s="23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0" ht="22.5" customHeight="1" x14ac:dyDescent="0.15">
      <c r="A27" s="15"/>
      <c r="B27" s="16"/>
      <c r="C27" s="50"/>
      <c r="D27" s="50"/>
      <c r="E27" s="50"/>
      <c r="F27" s="50"/>
      <c r="G27" s="57"/>
      <c r="H27" s="50"/>
      <c r="I27" s="50"/>
      <c r="J27" s="50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spans="1:30" ht="22.5" customHeight="1" x14ac:dyDescent="0.15">
      <c r="A28" s="15"/>
      <c r="B28" s="19"/>
      <c r="C28" s="9" t="s">
        <v>26</v>
      </c>
      <c r="D28" s="9"/>
      <c r="E28" s="9"/>
      <c r="F28" s="9"/>
      <c r="G28" s="9"/>
      <c r="H28" s="9"/>
      <c r="I28" s="9"/>
      <c r="J28" s="9"/>
      <c r="K28" s="23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spans="1:30" ht="22.5" customHeight="1" x14ac:dyDescent="0.25">
      <c r="A29" s="15"/>
      <c r="B29" s="19"/>
      <c r="C29" s="8" t="s">
        <v>63</v>
      </c>
      <c r="D29" s="8"/>
      <c r="E29" s="8"/>
      <c r="F29" s="62">
        <f>-call_price*contract_notional_value_payable</f>
        <v>-208000</v>
      </c>
      <c r="G29" s="48"/>
      <c r="H29" s="16"/>
      <c r="I29" s="16"/>
      <c r="J29" s="59"/>
      <c r="K29" s="23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spans="1:30" ht="22.5" customHeight="1" x14ac:dyDescent="0.25">
      <c r="A30" s="15"/>
      <c r="B30" s="19"/>
      <c r="C30" s="8" t="s">
        <v>28</v>
      </c>
      <c r="D30" s="8"/>
      <c r="E30" s="8"/>
      <c r="F30" s="62">
        <f>F29*(1+rate_us_1y_payable)</f>
        <v>-215279.99999999997</v>
      </c>
      <c r="G30" s="48"/>
      <c r="H30" s="16"/>
      <c r="I30" s="16"/>
      <c r="J30" s="59"/>
      <c r="K30" s="23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 spans="1:30" ht="22.5" customHeight="1" x14ac:dyDescent="0.15">
      <c r="A31" s="15"/>
      <c r="B31" s="19"/>
      <c r="C31" s="55"/>
      <c r="D31" s="64"/>
      <c r="E31" s="64"/>
      <c r="F31" s="65">
        <f>MAX(G35:G47)</f>
        <v>9501680.0000000019</v>
      </c>
      <c r="G31" s="10" t="s">
        <v>64</v>
      </c>
      <c r="H31" s="10"/>
      <c r="I31" s="10"/>
      <c r="J31" s="10"/>
      <c r="K31" s="23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 ht="22.5" customHeight="1" x14ac:dyDescent="0.15">
      <c r="A32" s="15"/>
      <c r="B32" s="16"/>
      <c r="C32" s="66"/>
      <c r="D32" s="66"/>
      <c r="E32" s="66"/>
      <c r="F32" s="66"/>
      <c r="G32" s="114"/>
      <c r="H32" s="66"/>
      <c r="I32" s="66"/>
      <c r="J32" s="6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spans="1:30" ht="22.5" customHeight="1" x14ac:dyDescent="0.15">
      <c r="A33" s="15"/>
      <c r="B33" s="19"/>
      <c r="C33" s="6" t="s">
        <v>30</v>
      </c>
      <c r="D33" s="5" t="s">
        <v>65</v>
      </c>
      <c r="E33" s="5"/>
      <c r="F33" s="5"/>
      <c r="G33" s="5"/>
      <c r="H33" s="4" t="s">
        <v>32</v>
      </c>
      <c r="I33" s="4"/>
      <c r="J33" s="4"/>
      <c r="K33" s="5" t="s">
        <v>33</v>
      </c>
      <c r="L33" s="5"/>
      <c r="M33" s="23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spans="1:30" ht="22.5" customHeight="1" x14ac:dyDescent="0.15">
      <c r="A34" s="15"/>
      <c r="B34" s="19"/>
      <c r="C34" s="6"/>
      <c r="D34" s="67" t="s">
        <v>34</v>
      </c>
      <c r="E34" s="68" t="s">
        <v>19</v>
      </c>
      <c r="F34" s="69" t="s">
        <v>22</v>
      </c>
      <c r="G34" s="70" t="s">
        <v>26</v>
      </c>
      <c r="H34" s="71" t="s">
        <v>35</v>
      </c>
      <c r="I34" s="72" t="s">
        <v>22</v>
      </c>
      <c r="J34" s="73" t="s">
        <v>26</v>
      </c>
      <c r="K34" s="67" t="s">
        <v>36</v>
      </c>
      <c r="L34" s="74" t="s">
        <v>37</v>
      </c>
      <c r="M34" s="23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spans="1:30" ht="22.5" customHeight="1" x14ac:dyDescent="0.25">
      <c r="A35" s="75"/>
      <c r="B35" s="3" t="s">
        <v>38</v>
      </c>
      <c r="C35" s="76">
        <f>$F$7*0.95</f>
        <v>1.10276</v>
      </c>
      <c r="D35" s="115">
        <f t="shared" ref="D35:D47" si="0">future_spot_price_payable*contract_notional_value_payable</f>
        <v>8822080</v>
      </c>
      <c r="E35" s="116">
        <f t="shared" ref="E35:E47" si="1">$D35+(forward_price_payable-future_spot_price_payable)*contract_notional_value_payable</f>
        <v>8712000</v>
      </c>
      <c r="F35" s="117">
        <f t="shared" ref="F35:F47" si="2">$F$26</f>
        <v>9363296.6390647832</v>
      </c>
      <c r="G35" s="118">
        <f t="shared" ref="G35:G47" si="3">$D35-J35</f>
        <v>9037360</v>
      </c>
      <c r="H35" s="119">
        <f t="shared" ref="H35:H47" si="4">(forward_price_payable-future_spot_price_payable)*contract_notional_value_payable</f>
        <v>-110079.99999999996</v>
      </c>
      <c r="I35" s="120">
        <f t="shared" ref="I35:I47" si="5">$F$26-D35</f>
        <v>541216.63906478323</v>
      </c>
      <c r="J35" s="121">
        <f t="shared" ref="J35:J47" si="6">$F$30+MAX(0,(C35-$F$14)*$F$6)</f>
        <v>-215279.99999999997</v>
      </c>
      <c r="K35" s="122" t="str">
        <f t="shared" ref="K35:K47" si="7">IF(E35= MIN(D35,E35,F35,G35),$E$34,IF(F35= MIN(D35,E35,F35,G35),$F$34,IF(G35= MIN(D35,E35,F35,G35),$G$34,$D$34)))</f>
        <v>1. Forward Hedge</v>
      </c>
      <c r="L35" s="123" t="str">
        <f t="shared" ref="L35:L47" si="8">IF(E35= MIN(E35,F35,G35),$E$34,IF(F35= MIN(E35,F35,G35),$F$34,$G$34))</f>
        <v>1. Forward Hedge</v>
      </c>
      <c r="M35" s="23" t="s">
        <v>39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spans="1:30" ht="22.5" customHeight="1" x14ac:dyDescent="0.25">
      <c r="A36" s="75"/>
      <c r="B36" s="3"/>
      <c r="C36" s="86">
        <f>$F$7*0.96</f>
        <v>1.114368</v>
      </c>
      <c r="D36" s="124">
        <f t="shared" si="0"/>
        <v>8914944</v>
      </c>
      <c r="E36" s="62">
        <f t="shared" si="1"/>
        <v>8712000</v>
      </c>
      <c r="F36" s="125">
        <f t="shared" si="2"/>
        <v>9363296.6390647832</v>
      </c>
      <c r="G36" s="126">
        <f t="shared" si="3"/>
        <v>9130224</v>
      </c>
      <c r="H36" s="127">
        <f t="shared" si="4"/>
        <v>-202944.00000000047</v>
      </c>
      <c r="I36" s="128">
        <f t="shared" si="5"/>
        <v>448352.63906478323</v>
      </c>
      <c r="J36" s="129">
        <f t="shared" si="6"/>
        <v>-215279.99999999997</v>
      </c>
      <c r="K36" s="130" t="str">
        <f t="shared" si="7"/>
        <v>1. Forward Hedge</v>
      </c>
      <c r="L36" s="96" t="str">
        <f t="shared" si="8"/>
        <v>1. Forward Hedge</v>
      </c>
      <c r="M36" s="23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 spans="1:30" ht="22.5" customHeight="1" x14ac:dyDescent="0.25">
      <c r="A37" s="75"/>
      <c r="B37" s="3"/>
      <c r="C37" s="86">
        <f>$F$7*0.97</f>
        <v>1.1259760000000001</v>
      </c>
      <c r="D37" s="124">
        <f t="shared" si="0"/>
        <v>9007808</v>
      </c>
      <c r="E37" s="62">
        <f t="shared" si="1"/>
        <v>8712000</v>
      </c>
      <c r="F37" s="125">
        <f t="shared" si="2"/>
        <v>9363296.6390647832</v>
      </c>
      <c r="G37" s="126">
        <f t="shared" si="3"/>
        <v>9223088</v>
      </c>
      <c r="H37" s="127">
        <f t="shared" si="4"/>
        <v>-295808.00000000093</v>
      </c>
      <c r="I37" s="128">
        <f t="shared" si="5"/>
        <v>355488.63906478323</v>
      </c>
      <c r="J37" s="129">
        <f t="shared" si="6"/>
        <v>-215279.99999999997</v>
      </c>
      <c r="K37" s="130" t="str">
        <f t="shared" si="7"/>
        <v>1. Forward Hedge</v>
      </c>
      <c r="L37" s="96" t="str">
        <f t="shared" si="8"/>
        <v>1. Forward Hedge</v>
      </c>
      <c r="M37" s="23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 spans="1:30" ht="22.5" customHeight="1" x14ac:dyDescent="0.25">
      <c r="A38" s="75"/>
      <c r="B38" s="3"/>
      <c r="C38" s="86">
        <f>$F$7*0.98</f>
        <v>1.1375839999999999</v>
      </c>
      <c r="D38" s="124">
        <f t="shared" si="0"/>
        <v>9100672</v>
      </c>
      <c r="E38" s="62">
        <f t="shared" si="1"/>
        <v>8712000</v>
      </c>
      <c r="F38" s="125">
        <f t="shared" si="2"/>
        <v>9363296.6390647832</v>
      </c>
      <c r="G38" s="126">
        <f t="shared" si="3"/>
        <v>9315952</v>
      </c>
      <c r="H38" s="127">
        <f t="shared" si="4"/>
        <v>-388671.99999999971</v>
      </c>
      <c r="I38" s="128">
        <f t="shared" si="5"/>
        <v>262624.63906478323</v>
      </c>
      <c r="J38" s="129">
        <f t="shared" si="6"/>
        <v>-215279.99999999997</v>
      </c>
      <c r="K38" s="130" t="str">
        <f t="shared" si="7"/>
        <v>1. Forward Hedge</v>
      </c>
      <c r="L38" s="96" t="str">
        <f t="shared" si="8"/>
        <v>1. Forward Hedge</v>
      </c>
      <c r="M38" s="23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 spans="1:30" ht="22.5" customHeight="1" x14ac:dyDescent="0.25">
      <c r="A39" s="75"/>
      <c r="B39" s="3"/>
      <c r="C39" s="86">
        <f>$F$7*0.99</f>
        <v>1.149192</v>
      </c>
      <c r="D39" s="124">
        <f t="shared" si="0"/>
        <v>9193536</v>
      </c>
      <c r="E39" s="62">
        <f t="shared" si="1"/>
        <v>8712000</v>
      </c>
      <c r="F39" s="125">
        <f t="shared" si="2"/>
        <v>9363296.6390647832</v>
      </c>
      <c r="G39" s="126">
        <f t="shared" si="3"/>
        <v>9408816</v>
      </c>
      <c r="H39" s="127">
        <f t="shared" si="4"/>
        <v>-481536.00000000017</v>
      </c>
      <c r="I39" s="128">
        <f t="shared" si="5"/>
        <v>169760.63906478323</v>
      </c>
      <c r="J39" s="129">
        <f t="shared" si="6"/>
        <v>-215279.99999999997</v>
      </c>
      <c r="K39" s="130" t="str">
        <f t="shared" si="7"/>
        <v>1. Forward Hedge</v>
      </c>
      <c r="L39" s="96" t="str">
        <f t="shared" si="8"/>
        <v>1. Forward Hedge</v>
      </c>
      <c r="M39" s="23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 spans="1:30" ht="22.5" customHeight="1" x14ac:dyDescent="0.25">
      <c r="A40" s="75"/>
      <c r="B40" s="3"/>
      <c r="C40" s="86">
        <f>$F$7*1</f>
        <v>1.1608000000000001</v>
      </c>
      <c r="D40" s="124">
        <f t="shared" si="0"/>
        <v>9286400</v>
      </c>
      <c r="E40" s="62">
        <f t="shared" si="1"/>
        <v>8712000</v>
      </c>
      <c r="F40" s="125">
        <f t="shared" si="2"/>
        <v>9363296.6390647832</v>
      </c>
      <c r="G40" s="126">
        <f t="shared" si="3"/>
        <v>9501680</v>
      </c>
      <c r="H40" s="127">
        <f t="shared" si="4"/>
        <v>-574400.0000000007</v>
      </c>
      <c r="I40" s="128">
        <f t="shared" si="5"/>
        <v>76896.63906478323</v>
      </c>
      <c r="J40" s="129">
        <f t="shared" si="6"/>
        <v>-215279.99999999997</v>
      </c>
      <c r="K40" s="130" t="str">
        <f t="shared" si="7"/>
        <v>1. Forward Hedge</v>
      </c>
      <c r="L40" s="94" t="str">
        <f t="shared" si="8"/>
        <v>1. Forward Hedge</v>
      </c>
      <c r="M40" s="23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spans="1:30" ht="22.5" customHeight="1" x14ac:dyDescent="0.25">
      <c r="A41" s="75"/>
      <c r="B41" s="3"/>
      <c r="C41" s="86">
        <f>$F$7*1.01</f>
        <v>1.1724080000000001</v>
      </c>
      <c r="D41" s="124">
        <f t="shared" si="0"/>
        <v>9379264.0000000019</v>
      </c>
      <c r="E41" s="62">
        <f t="shared" si="1"/>
        <v>8712000</v>
      </c>
      <c r="F41" s="125">
        <f t="shared" si="2"/>
        <v>9363296.6390647832</v>
      </c>
      <c r="G41" s="126">
        <f t="shared" si="3"/>
        <v>9501680.0000000019</v>
      </c>
      <c r="H41" s="127">
        <f t="shared" si="4"/>
        <v>-667264.00000000116</v>
      </c>
      <c r="I41" s="128">
        <f t="shared" si="5"/>
        <v>-15967.360935218632</v>
      </c>
      <c r="J41" s="129">
        <f t="shared" si="6"/>
        <v>-122415.99999999948</v>
      </c>
      <c r="K41" s="130" t="str">
        <f t="shared" si="7"/>
        <v>1. Forward Hedge</v>
      </c>
      <c r="L41" s="94" t="str">
        <f t="shared" si="8"/>
        <v>1. Forward Hedge</v>
      </c>
      <c r="M41" s="23" t="s">
        <v>40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 spans="1:30" ht="22.5" customHeight="1" x14ac:dyDescent="0.25">
      <c r="A42" s="75"/>
      <c r="B42" s="3"/>
      <c r="C42" s="86">
        <f>$F$7*1.02</f>
        <v>1.1840160000000002</v>
      </c>
      <c r="D42" s="124">
        <f t="shared" si="0"/>
        <v>9472128.0000000019</v>
      </c>
      <c r="E42" s="62">
        <f t="shared" si="1"/>
        <v>8712000</v>
      </c>
      <c r="F42" s="125">
        <f t="shared" si="2"/>
        <v>9363296.6390647832</v>
      </c>
      <c r="G42" s="126">
        <f t="shared" si="3"/>
        <v>9501680</v>
      </c>
      <c r="H42" s="127">
        <f t="shared" si="4"/>
        <v>-760128.00000000175</v>
      </c>
      <c r="I42" s="128">
        <f t="shared" si="5"/>
        <v>-108831.36093521863</v>
      </c>
      <c r="J42" s="129">
        <f t="shared" si="6"/>
        <v>-29551.999999998981</v>
      </c>
      <c r="K42" s="130" t="str">
        <f t="shared" si="7"/>
        <v>1. Forward Hedge</v>
      </c>
      <c r="L42" s="94" t="str">
        <f t="shared" si="8"/>
        <v>1. Forward Hedge</v>
      </c>
      <c r="M42" s="23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 spans="1:30" ht="22.5" customHeight="1" x14ac:dyDescent="0.25">
      <c r="A43" s="75"/>
      <c r="B43" s="3"/>
      <c r="C43" s="86">
        <f>$F$7*1.03</f>
        <v>1.195624</v>
      </c>
      <c r="D43" s="124">
        <f t="shared" si="0"/>
        <v>9564992</v>
      </c>
      <c r="E43" s="62">
        <f t="shared" si="1"/>
        <v>8712000</v>
      </c>
      <c r="F43" s="125">
        <f t="shared" si="2"/>
        <v>9363296.6390647832</v>
      </c>
      <c r="G43" s="126">
        <f t="shared" si="3"/>
        <v>9501680</v>
      </c>
      <c r="H43" s="127">
        <f t="shared" si="4"/>
        <v>-852992.00000000047</v>
      </c>
      <c r="I43" s="128">
        <f t="shared" si="5"/>
        <v>-201695.36093521677</v>
      </c>
      <c r="J43" s="129">
        <f t="shared" si="6"/>
        <v>63311.999999999738</v>
      </c>
      <c r="K43" s="130" t="str">
        <f t="shared" si="7"/>
        <v>1. Forward Hedge</v>
      </c>
      <c r="L43" s="94" t="str">
        <f t="shared" si="8"/>
        <v>1. Forward Hedge</v>
      </c>
      <c r="M43" s="23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 spans="1:30" ht="22.5" customHeight="1" x14ac:dyDescent="0.25">
      <c r="A44" s="75"/>
      <c r="B44" s="3"/>
      <c r="C44" s="86">
        <f>$F$7*1.04</f>
        <v>1.2072320000000001</v>
      </c>
      <c r="D44" s="124">
        <f t="shared" si="0"/>
        <v>9657856</v>
      </c>
      <c r="E44" s="62">
        <f t="shared" si="1"/>
        <v>8712000</v>
      </c>
      <c r="F44" s="125">
        <f t="shared" si="2"/>
        <v>9363296.6390647832</v>
      </c>
      <c r="G44" s="126">
        <f t="shared" si="3"/>
        <v>9501680</v>
      </c>
      <c r="H44" s="127">
        <f t="shared" si="4"/>
        <v>-945856.00000000093</v>
      </c>
      <c r="I44" s="128">
        <f t="shared" si="5"/>
        <v>-294559.36093521677</v>
      </c>
      <c r="J44" s="129">
        <f t="shared" si="6"/>
        <v>156176.00000000026</v>
      </c>
      <c r="K44" s="130" t="str">
        <f t="shared" si="7"/>
        <v>1. Forward Hedge</v>
      </c>
      <c r="L44" s="96" t="str">
        <f t="shared" si="8"/>
        <v>1. Forward Hedge</v>
      </c>
      <c r="M44" s="23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1:30" ht="22.5" customHeight="1" x14ac:dyDescent="0.25">
      <c r="A45" s="75"/>
      <c r="B45" s="3"/>
      <c r="C45" s="86">
        <f>$F$7*1.05</f>
        <v>1.2188400000000001</v>
      </c>
      <c r="D45" s="124">
        <f t="shared" si="0"/>
        <v>9750720.0000000019</v>
      </c>
      <c r="E45" s="62">
        <f t="shared" si="1"/>
        <v>8712000</v>
      </c>
      <c r="F45" s="125">
        <f t="shared" si="2"/>
        <v>9363296.6390647832</v>
      </c>
      <c r="G45" s="126">
        <f t="shared" si="3"/>
        <v>9501680.0000000019</v>
      </c>
      <c r="H45" s="127">
        <f t="shared" si="4"/>
        <v>-1038720.0000000014</v>
      </c>
      <c r="I45" s="128">
        <f t="shared" si="5"/>
        <v>-387423.36093521863</v>
      </c>
      <c r="J45" s="129">
        <f t="shared" si="6"/>
        <v>249040.00000000079</v>
      </c>
      <c r="K45" s="130" t="str">
        <f t="shared" si="7"/>
        <v>1. Forward Hedge</v>
      </c>
      <c r="L45" s="96" t="str">
        <f t="shared" si="8"/>
        <v>1. Forward Hedge</v>
      </c>
      <c r="M45" s="23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1:30" ht="22.5" customHeight="1" x14ac:dyDescent="0.25">
      <c r="A46" s="75"/>
      <c r="B46" s="3"/>
      <c r="C46" s="86">
        <f>$F$7*1.06</f>
        <v>1.2304480000000002</v>
      </c>
      <c r="D46" s="124">
        <f t="shared" si="0"/>
        <v>9843584.0000000019</v>
      </c>
      <c r="E46" s="62">
        <f t="shared" si="1"/>
        <v>8712000</v>
      </c>
      <c r="F46" s="125">
        <f t="shared" si="2"/>
        <v>9363296.6390647832</v>
      </c>
      <c r="G46" s="126">
        <f t="shared" si="3"/>
        <v>9501680</v>
      </c>
      <c r="H46" s="127">
        <f t="shared" si="4"/>
        <v>-1131584.0000000019</v>
      </c>
      <c r="I46" s="128">
        <f t="shared" si="5"/>
        <v>-480287.36093521863</v>
      </c>
      <c r="J46" s="129">
        <f t="shared" si="6"/>
        <v>341904.00000000128</v>
      </c>
      <c r="K46" s="130" t="str">
        <f t="shared" si="7"/>
        <v>1. Forward Hedge</v>
      </c>
      <c r="L46" s="96" t="str">
        <f t="shared" si="8"/>
        <v>1. Forward Hedge</v>
      </c>
      <c r="M46" s="23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1:30" ht="22.5" customHeight="1" x14ac:dyDescent="0.25">
      <c r="A47" s="75"/>
      <c r="B47" s="3"/>
      <c r="C47" s="97">
        <f>$F$7*1.07</f>
        <v>1.242056</v>
      </c>
      <c r="D47" s="131">
        <f t="shared" si="0"/>
        <v>9936448</v>
      </c>
      <c r="E47" s="132">
        <f t="shared" si="1"/>
        <v>8712000</v>
      </c>
      <c r="F47" s="133">
        <f t="shared" si="2"/>
        <v>9363296.6390647832</v>
      </c>
      <c r="G47" s="134">
        <f t="shared" si="3"/>
        <v>9501680</v>
      </c>
      <c r="H47" s="135">
        <f t="shared" si="4"/>
        <v>-1224448.0000000007</v>
      </c>
      <c r="I47" s="136">
        <f t="shared" si="5"/>
        <v>-573151.36093521677</v>
      </c>
      <c r="J47" s="137">
        <f t="shared" si="6"/>
        <v>434768</v>
      </c>
      <c r="K47" s="138" t="str">
        <f t="shared" si="7"/>
        <v>1. Forward Hedge</v>
      </c>
      <c r="L47" s="105" t="str">
        <f t="shared" si="8"/>
        <v>1. Forward Hedge</v>
      </c>
      <c r="M47" s="23" t="s">
        <v>41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 spans="1:30" ht="22.5" customHeight="1" x14ac:dyDescent="0.15">
      <c r="A48" s="15"/>
      <c r="B48" s="1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spans="1:30" ht="22.5" customHeight="1" x14ac:dyDescent="0.15">
      <c r="A49" s="15"/>
      <c r="B49" s="16"/>
      <c r="C49" s="2" t="s">
        <v>42</v>
      </c>
      <c r="D49" s="2"/>
      <c r="E49" s="2"/>
      <c r="F49" s="2"/>
      <c r="G49" s="2"/>
      <c r="H49" s="2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 spans="1:30" ht="22.5" customHeight="1" x14ac:dyDescent="0.15">
      <c r="A50" s="15"/>
      <c r="B50" s="16"/>
      <c r="C50" s="106" t="s">
        <v>43</v>
      </c>
      <c r="D50" s="106" t="s">
        <v>66</v>
      </c>
      <c r="E50" s="106" t="s">
        <v>45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 spans="1:30" ht="22.5" customHeight="1" x14ac:dyDescent="0.15">
      <c r="A51" s="15"/>
      <c r="B51" s="16"/>
      <c r="C51" s="107" t="s">
        <v>19</v>
      </c>
      <c r="D51" s="108">
        <f>F18</f>
        <v>8712000</v>
      </c>
      <c r="E51" s="109" t="s">
        <v>67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 spans="1:30" ht="22.5" customHeight="1" x14ac:dyDescent="0.15">
      <c r="A52" s="15"/>
      <c r="B52" s="16"/>
      <c r="C52" s="107" t="s">
        <v>22</v>
      </c>
      <c r="D52" s="108">
        <f>F25</f>
        <v>9363296.6390647832</v>
      </c>
      <c r="E52" s="109" t="s">
        <v>47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 spans="1:30" ht="22.5" customHeight="1" x14ac:dyDescent="0.15">
      <c r="A53" s="15"/>
      <c r="B53" s="16"/>
      <c r="C53" s="107" t="s">
        <v>68</v>
      </c>
      <c r="D53" s="108">
        <f>F31</f>
        <v>9501680.0000000019</v>
      </c>
      <c r="E53" s="109" t="s">
        <v>69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</row>
    <row r="54" spans="1:30" ht="22.5" customHeight="1" x14ac:dyDescent="0.15">
      <c r="A54" s="15"/>
      <c r="B54" s="16"/>
      <c r="C54" s="110" t="s">
        <v>50</v>
      </c>
      <c r="D54" s="110" t="s">
        <v>51</v>
      </c>
      <c r="E54" s="111" t="s">
        <v>52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 spans="1:30" ht="22.5" customHeight="1" x14ac:dyDescent="0.15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 spans="1:30" ht="22.5" customHeight="1" x14ac:dyDescent="0.15">
      <c r="A56" s="15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</row>
    <row r="57" spans="1:30" ht="22.5" customHeight="1" x14ac:dyDescent="0.15">
      <c r="A57" s="15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 spans="1:30" ht="22.5" customHeight="1" x14ac:dyDescent="0.15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</row>
    <row r="59" spans="1:30" ht="22.5" customHeight="1" x14ac:dyDescent="0.15">
      <c r="A59" s="15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</row>
    <row r="60" spans="1:30" ht="22.5" customHeight="1" x14ac:dyDescent="0.15">
      <c r="A60" s="15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 spans="1:30" ht="22.5" customHeight="1" x14ac:dyDescent="0.15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 spans="1:30" ht="22.5" customHeight="1" x14ac:dyDescent="0.15">
      <c r="A62" s="15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</row>
    <row r="63" spans="1:30" ht="22.5" customHeight="1" x14ac:dyDescent="0.15">
      <c r="A63" s="15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64" spans="1:30" ht="22.5" customHeight="1" x14ac:dyDescent="0.15">
      <c r="A64" s="15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 spans="1:30" ht="22.5" customHeight="1" x14ac:dyDescent="0.15">
      <c r="A65" s="15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 spans="1:30" ht="22.5" customHeight="1" x14ac:dyDescent="0.15">
      <c r="A66" s="15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 spans="1:30" ht="22.5" customHeight="1" x14ac:dyDescent="0.15">
      <c r="A67" s="15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 spans="1:30" ht="22.5" customHeight="1" x14ac:dyDescent="0.15">
      <c r="A68" s="15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 spans="1:30" ht="22.5" customHeight="1" x14ac:dyDescent="0.15">
      <c r="A69" s="15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 spans="1:30" ht="22.5" customHeight="1" x14ac:dyDescent="0.15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 spans="1:30" ht="22.5" customHeight="1" x14ac:dyDescent="0.15">
      <c r="A71" s="15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 spans="1:30" ht="22.5" customHeight="1" x14ac:dyDescent="0.15">
      <c r="A72" s="15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 spans="1:30" ht="22.5" customHeight="1" x14ac:dyDescent="0.15">
      <c r="A73" s="15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 spans="1:30" ht="22.5" customHeight="1" x14ac:dyDescent="0.15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 spans="1:30" ht="22.5" customHeight="1" x14ac:dyDescent="0.15">
      <c r="A75" s="15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 spans="1:30" ht="22.5" customHeight="1" x14ac:dyDescent="0.15">
      <c r="A76" s="15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 spans="1:30" ht="22.5" customHeight="1" x14ac:dyDescent="0.15">
      <c r="A77" s="15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 spans="1:30" ht="22.5" customHeight="1" x14ac:dyDescent="0.15">
      <c r="A78" s="15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 spans="1:30" ht="22.5" customHeight="1" x14ac:dyDescent="0.15">
      <c r="A79" s="15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 spans="1:30" ht="22.5" customHeight="1" x14ac:dyDescent="0.15">
      <c r="A80" s="15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</row>
    <row r="81" spans="1:30" ht="22.5" customHeight="1" x14ac:dyDescent="0.15">
      <c r="A81" s="15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 spans="1:30" ht="22.5" customHeight="1" x14ac:dyDescent="0.15">
      <c r="A82" s="15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 spans="1:30" ht="22.5" customHeight="1" x14ac:dyDescent="0.15">
      <c r="A83" s="15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4" spans="1:30" ht="22.5" customHeight="1" x14ac:dyDescent="0.15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</row>
    <row r="85" spans="1:30" ht="22.5" customHeight="1" x14ac:dyDescent="0.15">
      <c r="A85" s="15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 spans="1:30" ht="22.5" customHeight="1" x14ac:dyDescent="0.15">
      <c r="A86" s="15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 spans="1:30" ht="22.5" customHeight="1" x14ac:dyDescent="0.15">
      <c r="A87" s="15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 spans="1:30" ht="22.5" customHeight="1" x14ac:dyDescent="0.15">
      <c r="A88" s="15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 spans="1:30" ht="22.5" customHeight="1" x14ac:dyDescent="0.15">
      <c r="A89" s="15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</row>
    <row r="90" spans="1:30" ht="22.5" customHeight="1" x14ac:dyDescent="0.15">
      <c r="A90" s="15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</row>
    <row r="91" spans="1:30" ht="22.5" customHeight="1" x14ac:dyDescent="0.15">
      <c r="A91" s="15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 spans="1:30" ht="22.5" customHeight="1" x14ac:dyDescent="0.15">
      <c r="A92" s="15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 spans="1:30" ht="22.5" customHeight="1" x14ac:dyDescent="0.15">
      <c r="A93" s="15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 spans="1:30" ht="22.5" customHeight="1" x14ac:dyDescent="0.15">
      <c r="A94" s="15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</row>
    <row r="95" spans="1:30" ht="22.5" customHeight="1" x14ac:dyDescent="0.15">
      <c r="A95" s="15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 spans="1:30" ht="22.5" customHeight="1" x14ac:dyDescent="0.15">
      <c r="A96" s="15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 spans="1:30" ht="22.5" customHeight="1" x14ac:dyDescent="0.15">
      <c r="A97" s="15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 spans="1:30" ht="22.5" customHeight="1" x14ac:dyDescent="0.15">
      <c r="A98" s="15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 spans="1:30" ht="22.5" customHeight="1" x14ac:dyDescent="0.15">
      <c r="A99" s="15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 spans="1:30" ht="22.5" customHeight="1" x14ac:dyDescent="0.15">
      <c r="A100" s="15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 spans="1:30" ht="22.5" customHeight="1" x14ac:dyDescent="0.15">
      <c r="A101" s="15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</row>
    <row r="102" spans="1:30" ht="22.5" customHeight="1" x14ac:dyDescent="0.15">
      <c r="A102" s="15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</row>
    <row r="103" spans="1:30" ht="22.5" customHeight="1" x14ac:dyDescent="0.15">
      <c r="A103" s="15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</row>
    <row r="104" spans="1:30" ht="22.5" customHeight="1" x14ac:dyDescent="0.15">
      <c r="A104" s="15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</row>
    <row r="105" spans="1:30" ht="22.5" customHeight="1" x14ac:dyDescent="0.15">
      <c r="A105" s="15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</row>
    <row r="106" spans="1:30" ht="22.5" customHeight="1" x14ac:dyDescent="0.15">
      <c r="A106" s="15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 spans="1:30" ht="22.5" customHeight="1" x14ac:dyDescent="0.15">
      <c r="A107" s="15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</row>
    <row r="108" spans="1:30" ht="22.5" customHeight="1" x14ac:dyDescent="0.15">
      <c r="A108" s="15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</row>
    <row r="109" spans="1:30" ht="22.5" customHeight="1" x14ac:dyDescent="0.15">
      <c r="A109" s="15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</row>
    <row r="110" spans="1:30" ht="22.5" customHeight="1" x14ac:dyDescent="0.15">
      <c r="A110" s="15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</row>
    <row r="111" spans="1:30" ht="22.5" customHeight="1" x14ac:dyDescent="0.15">
      <c r="A111" s="15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</row>
    <row r="112" spans="1:30" ht="22.5" customHeight="1" x14ac:dyDescent="0.15">
      <c r="A112" s="15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</row>
    <row r="113" spans="1:30" ht="22.5" customHeight="1" x14ac:dyDescent="0.15">
      <c r="A113" s="15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</row>
    <row r="114" spans="1:30" ht="22.5" customHeight="1" x14ac:dyDescent="0.15">
      <c r="A114" s="15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 spans="1:30" ht="22.5" customHeight="1" x14ac:dyDescent="0.15">
      <c r="A115" s="15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</row>
    <row r="116" spans="1:30" ht="22.5" customHeight="1" x14ac:dyDescent="0.15">
      <c r="A116" s="15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</row>
    <row r="117" spans="1:30" ht="22.5" customHeight="1" x14ac:dyDescent="0.15">
      <c r="A117" s="15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</row>
    <row r="118" spans="1:30" ht="22.5" customHeight="1" x14ac:dyDescent="0.15">
      <c r="A118" s="15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 spans="1:30" ht="22.5" customHeight="1" x14ac:dyDescent="0.15">
      <c r="A119" s="15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 spans="1:30" ht="22.5" customHeight="1" x14ac:dyDescent="0.15">
      <c r="A120" s="15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 spans="1:30" ht="22.5" customHeight="1" x14ac:dyDescent="0.15">
      <c r="A121" s="15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</row>
    <row r="122" spans="1:30" ht="22.5" customHeight="1" x14ac:dyDescent="0.15">
      <c r="A122" s="15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 spans="1:30" ht="22.5" customHeight="1" x14ac:dyDescent="0.15">
      <c r="A123" s="15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 spans="1:30" ht="22.5" customHeight="1" x14ac:dyDescent="0.15">
      <c r="A124" s="15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 spans="1:30" ht="22.5" customHeight="1" x14ac:dyDescent="0.15">
      <c r="A125" s="15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 spans="1:30" ht="22.5" customHeight="1" x14ac:dyDescent="0.15">
      <c r="A126" s="15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 spans="1:30" ht="22.5" customHeight="1" x14ac:dyDescent="0.15">
      <c r="A127" s="15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 spans="1:30" ht="22.5" customHeight="1" x14ac:dyDescent="0.15">
      <c r="A128" s="15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</row>
    <row r="129" spans="1:30" ht="22.5" customHeight="1" x14ac:dyDescent="0.15">
      <c r="A129" s="15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 spans="1:30" ht="22.5" customHeight="1" x14ac:dyDescent="0.15">
      <c r="A130" s="15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 spans="1:30" ht="22.5" customHeight="1" x14ac:dyDescent="0.15">
      <c r="A131" s="15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 spans="1:30" ht="22.5" customHeight="1" x14ac:dyDescent="0.15">
      <c r="A132" s="15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 spans="1:30" ht="22.5" customHeight="1" x14ac:dyDescent="0.15">
      <c r="A133" s="15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</row>
    <row r="134" spans="1:30" ht="22.5" customHeight="1" x14ac:dyDescent="0.15">
      <c r="A134" s="15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 spans="1:30" ht="22.5" customHeight="1" x14ac:dyDescent="0.15">
      <c r="A135" s="15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</row>
    <row r="136" spans="1:30" ht="22.5" customHeight="1" x14ac:dyDescent="0.15">
      <c r="A136" s="15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</row>
    <row r="137" spans="1:30" ht="22.5" customHeight="1" x14ac:dyDescent="0.15">
      <c r="A137" s="15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 spans="1:30" ht="22.5" customHeight="1" x14ac:dyDescent="0.15">
      <c r="A138" s="15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 spans="1:30" ht="22.5" customHeight="1" x14ac:dyDescent="0.15">
      <c r="A139" s="15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 spans="1:30" ht="22.5" customHeight="1" x14ac:dyDescent="0.15">
      <c r="A140" s="15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</row>
    <row r="141" spans="1:30" ht="22.5" customHeight="1" x14ac:dyDescent="0.15">
      <c r="A141" s="15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 spans="1:30" ht="22.5" customHeight="1" x14ac:dyDescent="0.15">
      <c r="A142" s="15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 spans="1:30" ht="22.5" customHeight="1" x14ac:dyDescent="0.15">
      <c r="A143" s="15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 spans="1:30" ht="22.5" customHeight="1" x14ac:dyDescent="0.15">
      <c r="A144" s="15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 spans="1:30" ht="22.5" customHeight="1" x14ac:dyDescent="0.15">
      <c r="A145" s="15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 spans="1:30" ht="22.5" customHeight="1" x14ac:dyDescent="0.15">
      <c r="A146" s="15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 spans="1:30" ht="22.5" customHeight="1" x14ac:dyDescent="0.15">
      <c r="A147" s="15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 spans="1:30" ht="22.5" customHeight="1" x14ac:dyDescent="0.15">
      <c r="A148" s="15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 spans="1:30" ht="22.5" customHeight="1" x14ac:dyDescent="0.15">
      <c r="A149" s="15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 spans="1:30" ht="22.5" customHeight="1" x14ac:dyDescent="0.15">
      <c r="A150" s="15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 spans="1:30" ht="22.5" customHeight="1" x14ac:dyDescent="0.15">
      <c r="A151" s="15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 spans="1:30" ht="22.5" customHeight="1" x14ac:dyDescent="0.15">
      <c r="A152" s="15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 spans="1:30" ht="22.5" customHeight="1" x14ac:dyDescent="0.15">
      <c r="A153" s="15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 spans="1:30" ht="22.5" customHeight="1" x14ac:dyDescent="0.15">
      <c r="A154" s="15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 spans="1:30" ht="22.5" customHeight="1" x14ac:dyDescent="0.15">
      <c r="A155" s="15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 spans="1:30" ht="22.5" customHeight="1" x14ac:dyDescent="0.15">
      <c r="A156" s="15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 spans="1:30" ht="22.5" customHeight="1" x14ac:dyDescent="0.15">
      <c r="A157" s="15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 spans="1:30" ht="22.5" customHeight="1" x14ac:dyDescent="0.15">
      <c r="A158" s="15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 spans="1:30" ht="22.5" customHeight="1" x14ac:dyDescent="0.15">
      <c r="A159" s="15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 spans="1:30" ht="22.5" customHeight="1" x14ac:dyDescent="0.15">
      <c r="A160" s="15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 spans="1:30" ht="22.5" customHeight="1" x14ac:dyDescent="0.15">
      <c r="A161" s="15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 spans="1:30" ht="22.5" customHeight="1" x14ac:dyDescent="0.15">
      <c r="A162" s="15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 spans="1:30" ht="22.5" customHeight="1" x14ac:dyDescent="0.15">
      <c r="A163" s="15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 spans="1:30" ht="22.5" customHeight="1" x14ac:dyDescent="0.15">
      <c r="A164" s="15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 spans="1:30" ht="22.5" customHeight="1" x14ac:dyDescent="0.15">
      <c r="A165" s="15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 spans="1:30" ht="22.5" customHeight="1" x14ac:dyDescent="0.15">
      <c r="A166" s="15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 spans="1:30" ht="22.5" customHeight="1" x14ac:dyDescent="0.15">
      <c r="A167" s="15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 spans="1:30" ht="22.5" customHeight="1" x14ac:dyDescent="0.15">
      <c r="A168" s="15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 spans="1:30" ht="22.5" customHeight="1" x14ac:dyDescent="0.15">
      <c r="A169" s="15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 spans="1:30" ht="22.5" customHeight="1" x14ac:dyDescent="0.15">
      <c r="A170" s="15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 spans="1:30" ht="22.5" customHeight="1" x14ac:dyDescent="0.15">
      <c r="A171" s="15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 spans="1:30" ht="22.5" customHeight="1" x14ac:dyDescent="0.15">
      <c r="A172" s="15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 spans="1:30" ht="22.5" customHeight="1" x14ac:dyDescent="0.15">
      <c r="A173" s="15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 spans="1:30" ht="22.5" customHeight="1" x14ac:dyDescent="0.15">
      <c r="A174" s="15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 spans="1:30" ht="22.5" customHeight="1" x14ac:dyDescent="0.15">
      <c r="A175" s="15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 spans="1:30" ht="22.5" customHeight="1" x14ac:dyDescent="0.15">
      <c r="A176" s="15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 spans="1:30" ht="22.5" customHeight="1" x14ac:dyDescent="0.15">
      <c r="A177" s="15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 spans="1:30" ht="22.5" customHeight="1" x14ac:dyDescent="0.15">
      <c r="A178" s="15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 spans="1:30" ht="22.5" customHeight="1" x14ac:dyDescent="0.15">
      <c r="A179" s="15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 spans="1:30" ht="22.5" customHeight="1" x14ac:dyDescent="0.15">
      <c r="A180" s="15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 spans="1:30" ht="22.5" customHeight="1" x14ac:dyDescent="0.15">
      <c r="A181" s="15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 spans="1:30" ht="22.5" customHeight="1" x14ac:dyDescent="0.15">
      <c r="A182" s="15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 spans="1:30" ht="22.5" customHeight="1" x14ac:dyDescent="0.15">
      <c r="A183" s="15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 spans="1:30" ht="22.5" customHeight="1" x14ac:dyDescent="0.15">
      <c r="A184" s="15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 spans="1:30" ht="22.5" customHeight="1" x14ac:dyDescent="0.15">
      <c r="A185" s="15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 spans="1:30" ht="22.5" customHeight="1" x14ac:dyDescent="0.15">
      <c r="A186" s="15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 spans="1:30" ht="22.5" customHeight="1" x14ac:dyDescent="0.15">
      <c r="A187" s="15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 spans="1:30" ht="22.5" customHeight="1" x14ac:dyDescent="0.15">
      <c r="A188" s="15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 spans="1:30" ht="22.5" customHeight="1" x14ac:dyDescent="0.15">
      <c r="A189" s="15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 spans="1:30" ht="22.5" customHeight="1" x14ac:dyDescent="0.15">
      <c r="A190" s="15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 spans="1:30" ht="22.5" customHeight="1" x14ac:dyDescent="0.15">
      <c r="A191" s="15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 spans="1:30" ht="22.5" customHeight="1" x14ac:dyDescent="0.15">
      <c r="A192" s="15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 spans="1:30" ht="22.5" customHeight="1" x14ac:dyDescent="0.15">
      <c r="A193" s="15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 spans="1:30" ht="22.5" customHeight="1" x14ac:dyDescent="0.15">
      <c r="A194" s="15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 spans="1:30" ht="22.5" customHeight="1" x14ac:dyDescent="0.15">
      <c r="A195" s="15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 spans="1:30" ht="22.5" customHeight="1" x14ac:dyDescent="0.15">
      <c r="A196" s="15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 spans="1:30" ht="22.5" customHeight="1" x14ac:dyDescent="0.15">
      <c r="A197" s="15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 spans="1:30" ht="22.5" customHeight="1" x14ac:dyDescent="0.15">
      <c r="A198" s="15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 spans="1:30" ht="22.5" customHeight="1" x14ac:dyDescent="0.15">
      <c r="A199" s="15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 spans="1:30" ht="22.5" customHeight="1" x14ac:dyDescent="0.15">
      <c r="A200" s="15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 spans="1:30" ht="22.5" customHeight="1" x14ac:dyDescent="0.15">
      <c r="A201" s="15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 spans="1:30" ht="22.5" customHeight="1" x14ac:dyDescent="0.15">
      <c r="A202" s="15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 spans="1:30" ht="22.5" customHeight="1" x14ac:dyDescent="0.15">
      <c r="A203" s="15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 spans="1:30" ht="22.5" customHeight="1" x14ac:dyDescent="0.15">
      <c r="A204" s="15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 spans="1:30" ht="22.5" customHeight="1" x14ac:dyDescent="0.15">
      <c r="A205" s="15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 spans="1:30" ht="22.5" customHeight="1" x14ac:dyDescent="0.15">
      <c r="A206" s="15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 spans="1:30" ht="22.5" customHeight="1" x14ac:dyDescent="0.15">
      <c r="A207" s="15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 spans="1:30" ht="22.5" customHeight="1" x14ac:dyDescent="0.15">
      <c r="A208" s="15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 spans="1:30" ht="22.5" customHeight="1" x14ac:dyDescent="0.15">
      <c r="A209" s="15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 spans="1:30" ht="22.5" customHeight="1" x14ac:dyDescent="0.15">
      <c r="A210" s="15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 spans="1:30" ht="22.5" customHeight="1" x14ac:dyDescent="0.15">
      <c r="A211" s="15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 spans="1:30" ht="22.5" customHeight="1" x14ac:dyDescent="0.15">
      <c r="A212" s="15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 spans="1:30" ht="22.5" customHeight="1" x14ac:dyDescent="0.15">
      <c r="A213" s="15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 spans="1:30" ht="22.5" customHeight="1" x14ac:dyDescent="0.15">
      <c r="A214" s="15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 spans="1:30" ht="22.5" customHeight="1" x14ac:dyDescent="0.15">
      <c r="A215" s="15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 spans="1:30" ht="22.5" customHeight="1" x14ac:dyDescent="0.15">
      <c r="A216" s="15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 spans="1:30" ht="22.5" customHeight="1" x14ac:dyDescent="0.15">
      <c r="A217" s="15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 spans="1:30" ht="22.5" customHeight="1" x14ac:dyDescent="0.15">
      <c r="A218" s="15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 spans="1:30" ht="22.5" customHeight="1" x14ac:dyDescent="0.15">
      <c r="A219" s="15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 spans="1:30" ht="22.5" customHeight="1" x14ac:dyDescent="0.15">
      <c r="A220" s="15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 spans="1:30" ht="22.5" customHeight="1" x14ac:dyDescent="0.15">
      <c r="A221" s="15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 spans="1:30" ht="22.5" customHeight="1" x14ac:dyDescent="0.15">
      <c r="A222" s="15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 spans="1:30" ht="22.5" customHeight="1" x14ac:dyDescent="0.15">
      <c r="A223" s="15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 spans="1:30" ht="22.5" customHeight="1" x14ac:dyDescent="0.15">
      <c r="A224" s="15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 spans="1:30" ht="22.5" customHeight="1" x14ac:dyDescent="0.15">
      <c r="A225" s="15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 spans="1:30" ht="22.5" customHeight="1" x14ac:dyDescent="0.15">
      <c r="A226" s="15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 spans="1:30" ht="22.5" customHeight="1" x14ac:dyDescent="0.15">
      <c r="A227" s="15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 spans="1:30" ht="22.5" customHeight="1" x14ac:dyDescent="0.15">
      <c r="A228" s="15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 spans="1:30" ht="22.5" customHeight="1" x14ac:dyDescent="0.15">
      <c r="A229" s="15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 spans="1:30" ht="22.5" customHeight="1" x14ac:dyDescent="0.15">
      <c r="A230" s="15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 spans="1:30" ht="22.5" customHeight="1" x14ac:dyDescent="0.15">
      <c r="A231" s="15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 spans="1:30" ht="22.5" customHeight="1" x14ac:dyDescent="0.15">
      <c r="A232" s="15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 spans="1:30" ht="22.5" customHeight="1" x14ac:dyDescent="0.15">
      <c r="A233" s="15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 spans="1:30" ht="22.5" customHeight="1" x14ac:dyDescent="0.15">
      <c r="A234" s="15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 spans="1:30" ht="22.5" customHeight="1" x14ac:dyDescent="0.15">
      <c r="A235" s="15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 spans="1:30" ht="22.5" customHeight="1" x14ac:dyDescent="0.15">
      <c r="A236" s="15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 spans="1:30" ht="22.5" customHeight="1" x14ac:dyDescent="0.15">
      <c r="A237" s="15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 spans="1:30" ht="22.5" customHeight="1" x14ac:dyDescent="0.15">
      <c r="A238" s="15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 spans="1:30" ht="22.5" customHeight="1" x14ac:dyDescent="0.15">
      <c r="A239" s="15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 spans="1:30" ht="22.5" customHeight="1" x14ac:dyDescent="0.15">
      <c r="A240" s="15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 spans="1:30" ht="22.5" customHeight="1" x14ac:dyDescent="0.15">
      <c r="A241" s="15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 spans="1:30" ht="22.5" customHeight="1" x14ac:dyDescent="0.15">
      <c r="A242" s="15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 spans="1:30" ht="22.5" customHeight="1" x14ac:dyDescent="0.15">
      <c r="A243" s="15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 spans="1:30" ht="22.5" customHeight="1" x14ac:dyDescent="0.15">
      <c r="A244" s="15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 spans="1:30" ht="22.5" customHeight="1" x14ac:dyDescent="0.15">
      <c r="A245" s="15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 spans="1:30" ht="22.5" customHeight="1" x14ac:dyDescent="0.15">
      <c r="A246" s="15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 spans="1:30" ht="22.5" customHeight="1" x14ac:dyDescent="0.15">
      <c r="A247" s="15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 spans="1:30" ht="22.5" customHeight="1" x14ac:dyDescent="0.15">
      <c r="A248" s="15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 spans="1:30" ht="22.5" customHeight="1" x14ac:dyDescent="0.15">
      <c r="A249" s="15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 spans="1:30" ht="22.5" customHeight="1" x14ac:dyDescent="0.15">
      <c r="A250" s="15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 spans="1:30" ht="22.5" customHeight="1" x14ac:dyDescent="0.15">
      <c r="A251" s="15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 spans="1:30" ht="22.5" customHeight="1" x14ac:dyDescent="0.15">
      <c r="A252" s="15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 spans="1:30" ht="22.5" customHeight="1" x14ac:dyDescent="0.15">
      <c r="A253" s="15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 spans="1:30" ht="22.5" customHeight="1" x14ac:dyDescent="0.15">
      <c r="A254" s="15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 spans="1:30" ht="22.5" customHeight="1" x14ac:dyDescent="0.15">
      <c r="A255" s="15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 spans="1:30" ht="22.5" customHeight="1" x14ac:dyDescent="0.15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 spans="1:30" ht="22.5" customHeight="1" x14ac:dyDescent="0.15">
      <c r="A257" s="15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 spans="1:30" ht="22.5" customHeight="1" x14ac:dyDescent="0.15">
      <c r="A258" s="15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 spans="1:30" ht="22.5" customHeight="1" x14ac:dyDescent="0.15">
      <c r="A259" s="15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 spans="1:30" ht="22.5" customHeight="1" x14ac:dyDescent="0.15">
      <c r="A260" s="15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 spans="1:30" ht="22.5" customHeight="1" x14ac:dyDescent="0.15">
      <c r="A261" s="15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 spans="1:30" ht="22.5" customHeight="1" x14ac:dyDescent="0.15">
      <c r="A262" s="15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 spans="1:30" ht="22.5" customHeight="1" x14ac:dyDescent="0.15">
      <c r="A263" s="15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 spans="1:30" ht="22.5" customHeight="1" x14ac:dyDescent="0.15">
      <c r="A264" s="15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 spans="1:30" ht="22.5" customHeight="1" x14ac:dyDescent="0.15">
      <c r="A265" s="15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 spans="1:30" ht="22.5" customHeight="1" x14ac:dyDescent="0.15">
      <c r="A266" s="15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 spans="1:30" ht="22.5" customHeight="1" x14ac:dyDescent="0.15">
      <c r="A267" s="15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 spans="1:30" ht="22.5" customHeight="1" x14ac:dyDescent="0.15">
      <c r="A268" s="15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 spans="1:30" ht="22.5" customHeight="1" x14ac:dyDescent="0.15">
      <c r="A269" s="15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 spans="1:30" ht="22.5" customHeight="1" x14ac:dyDescent="0.15">
      <c r="A270" s="15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 spans="1:30" ht="22.5" customHeight="1" x14ac:dyDescent="0.15">
      <c r="A271" s="15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 spans="1:30" ht="22.5" customHeight="1" x14ac:dyDescent="0.15">
      <c r="A272" s="15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 spans="1:30" ht="22.5" customHeight="1" x14ac:dyDescent="0.15">
      <c r="A273" s="15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 spans="1:30" ht="22.5" customHeight="1" x14ac:dyDescent="0.15">
      <c r="A274" s="15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 spans="1:30" ht="22.5" customHeight="1" x14ac:dyDescent="0.15">
      <c r="A275" s="15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 spans="1:30" ht="22.5" customHeight="1" x14ac:dyDescent="0.15">
      <c r="A276" s="15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 spans="1:30" ht="22.5" customHeight="1" x14ac:dyDescent="0.15">
      <c r="A277" s="15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 spans="1:30" ht="22.5" customHeight="1" x14ac:dyDescent="0.15">
      <c r="A278" s="15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 spans="1:30" ht="22.5" customHeight="1" x14ac:dyDescent="0.15">
      <c r="A279" s="15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 spans="1:30" ht="22.5" customHeight="1" x14ac:dyDescent="0.15">
      <c r="A280" s="15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 spans="1:30" ht="22.5" customHeight="1" x14ac:dyDescent="0.15">
      <c r="A281" s="15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 spans="1:30" ht="22.5" customHeight="1" x14ac:dyDescent="0.15">
      <c r="A282" s="15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 spans="1:30" ht="22.5" customHeight="1" x14ac:dyDescent="0.15">
      <c r="A283" s="15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 spans="1:30" ht="22.5" customHeight="1" x14ac:dyDescent="0.15">
      <c r="A284" s="15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 spans="1:30" ht="22.5" customHeight="1" x14ac:dyDescent="0.15">
      <c r="A285" s="15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 spans="1:30" ht="22.5" customHeight="1" x14ac:dyDescent="0.15">
      <c r="A286" s="15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 spans="1:30" ht="22.5" customHeight="1" x14ac:dyDescent="0.15">
      <c r="A287" s="15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 spans="1:30" ht="22.5" customHeight="1" x14ac:dyDescent="0.15">
      <c r="A288" s="15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 spans="1:30" ht="22.5" customHeight="1" x14ac:dyDescent="0.15">
      <c r="A289" s="15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 spans="1:30" ht="22.5" customHeight="1" x14ac:dyDescent="0.15">
      <c r="A290" s="15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 spans="1:30" ht="22.5" customHeight="1" x14ac:dyDescent="0.15">
      <c r="A291" s="15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 spans="1:30" ht="22.5" customHeight="1" x14ac:dyDescent="0.15">
      <c r="A292" s="15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 spans="1:30" ht="22.5" customHeight="1" x14ac:dyDescent="0.15">
      <c r="A293" s="15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 spans="1:30" ht="22.5" customHeight="1" x14ac:dyDescent="0.15">
      <c r="A294" s="15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 spans="1:30" ht="22.5" customHeight="1" x14ac:dyDescent="0.15">
      <c r="A295" s="15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 spans="1:30" ht="22.5" customHeight="1" x14ac:dyDescent="0.15">
      <c r="A296" s="15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 spans="1:30" ht="22.5" customHeight="1" x14ac:dyDescent="0.15">
      <c r="A297" s="15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 spans="1:30" ht="22.5" customHeight="1" x14ac:dyDescent="0.15">
      <c r="A298" s="15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 spans="1:30" ht="22.5" customHeight="1" x14ac:dyDescent="0.15">
      <c r="A299" s="15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 spans="1:30" ht="22.5" customHeight="1" x14ac:dyDescent="0.15">
      <c r="A300" s="15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 spans="1:30" ht="22.5" customHeight="1" x14ac:dyDescent="0.15">
      <c r="A301" s="15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 spans="1:30" ht="22.5" customHeight="1" x14ac:dyDescent="0.15">
      <c r="A302" s="15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 spans="1:30" ht="22.5" customHeight="1" x14ac:dyDescent="0.15">
      <c r="A303" s="15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 spans="1:30" ht="22.5" customHeight="1" x14ac:dyDescent="0.15">
      <c r="A304" s="15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 spans="1:30" ht="22.5" customHeight="1" x14ac:dyDescent="0.15">
      <c r="A305" s="15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 spans="1:30" ht="22.5" customHeight="1" x14ac:dyDescent="0.15">
      <c r="A306" s="15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 spans="1:30" ht="22.5" customHeight="1" x14ac:dyDescent="0.15">
      <c r="A307" s="15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 spans="1:30" ht="22.5" customHeight="1" x14ac:dyDescent="0.15">
      <c r="A308" s="15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 spans="1:30" ht="22.5" customHeight="1" x14ac:dyDescent="0.15">
      <c r="A309" s="15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 spans="1:30" ht="22.5" customHeight="1" x14ac:dyDescent="0.15">
      <c r="A310" s="15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 spans="1:30" ht="22.5" customHeight="1" x14ac:dyDescent="0.15">
      <c r="A311" s="15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 spans="1:30" ht="22.5" customHeight="1" x14ac:dyDescent="0.15">
      <c r="A312" s="15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 spans="1:30" ht="22.5" customHeight="1" x14ac:dyDescent="0.15">
      <c r="A313" s="15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 spans="1:30" ht="22.5" customHeight="1" x14ac:dyDescent="0.15">
      <c r="A314" s="15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 spans="1:30" ht="22.5" customHeight="1" x14ac:dyDescent="0.15">
      <c r="A315" s="15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 spans="1:30" ht="22.5" customHeight="1" x14ac:dyDescent="0.15">
      <c r="A316" s="15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 spans="1:30" ht="22.5" customHeight="1" x14ac:dyDescent="0.15">
      <c r="A317" s="15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 spans="1:30" ht="22.5" customHeight="1" x14ac:dyDescent="0.15">
      <c r="A318" s="15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 spans="1:30" ht="22.5" customHeight="1" x14ac:dyDescent="0.15">
      <c r="A319" s="15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 spans="1:30" ht="22.5" customHeight="1" x14ac:dyDescent="0.15">
      <c r="A320" s="15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 spans="1:30" ht="22.5" customHeight="1" x14ac:dyDescent="0.15">
      <c r="A321" s="15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 spans="1:30" ht="22.5" customHeight="1" x14ac:dyDescent="0.15">
      <c r="A322" s="15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 spans="1:30" ht="22.5" customHeight="1" x14ac:dyDescent="0.15">
      <c r="A323" s="15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 spans="1:30" ht="22.5" customHeight="1" x14ac:dyDescent="0.15">
      <c r="A324" s="15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 spans="1:30" ht="22.5" customHeight="1" x14ac:dyDescent="0.15">
      <c r="A325" s="15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 spans="1:30" ht="22.5" customHeight="1" x14ac:dyDescent="0.15">
      <c r="A326" s="15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 spans="1:30" ht="22.5" customHeight="1" x14ac:dyDescent="0.15">
      <c r="A327" s="15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 spans="1:30" ht="22.5" customHeight="1" x14ac:dyDescent="0.15">
      <c r="A328" s="15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 spans="1:30" ht="22.5" customHeight="1" x14ac:dyDescent="0.15">
      <c r="A329" s="15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 spans="1:30" ht="22.5" customHeight="1" x14ac:dyDescent="0.15">
      <c r="A330" s="15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 spans="1:30" ht="22.5" customHeight="1" x14ac:dyDescent="0.15">
      <c r="A331" s="15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 spans="1:30" ht="22.5" customHeight="1" x14ac:dyDescent="0.15">
      <c r="A332" s="15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 spans="1:30" ht="22.5" customHeight="1" x14ac:dyDescent="0.15">
      <c r="A333" s="15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 spans="1:30" ht="22.5" customHeight="1" x14ac:dyDescent="0.15">
      <c r="A334" s="15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 spans="1:30" ht="22.5" customHeight="1" x14ac:dyDescent="0.15">
      <c r="A335" s="15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 spans="1:30" ht="22.5" customHeight="1" x14ac:dyDescent="0.15">
      <c r="A336" s="15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 spans="1:30" ht="22.5" customHeight="1" x14ac:dyDescent="0.15">
      <c r="A337" s="15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 spans="1:30" ht="22.5" customHeight="1" x14ac:dyDescent="0.15">
      <c r="A338" s="15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 spans="1:30" ht="22.5" customHeight="1" x14ac:dyDescent="0.15">
      <c r="A339" s="15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 spans="1:30" ht="22.5" customHeight="1" x14ac:dyDescent="0.15">
      <c r="A340" s="15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 spans="1:30" ht="22.5" customHeight="1" x14ac:dyDescent="0.15">
      <c r="A341" s="15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 spans="1:30" ht="22.5" customHeight="1" x14ac:dyDescent="0.15">
      <c r="A342" s="15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 spans="1:30" ht="22.5" customHeight="1" x14ac:dyDescent="0.15">
      <c r="A343" s="15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 spans="1:30" ht="22.5" customHeight="1" x14ac:dyDescent="0.15">
      <c r="A344" s="15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 spans="1:30" ht="22.5" customHeight="1" x14ac:dyDescent="0.15">
      <c r="A345" s="15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 spans="1:30" ht="22.5" customHeight="1" x14ac:dyDescent="0.15">
      <c r="A346" s="15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 spans="1:30" ht="22.5" customHeight="1" x14ac:dyDescent="0.15">
      <c r="A347" s="15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 spans="1:30" ht="22.5" customHeight="1" x14ac:dyDescent="0.15">
      <c r="A348" s="15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 spans="1:30" ht="22.5" customHeight="1" x14ac:dyDescent="0.15">
      <c r="A349" s="15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 spans="1:30" ht="22.5" customHeight="1" x14ac:dyDescent="0.15">
      <c r="A350" s="15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 spans="1:30" ht="22.5" customHeight="1" x14ac:dyDescent="0.15">
      <c r="A351" s="15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 spans="1:30" ht="22.5" customHeight="1" x14ac:dyDescent="0.15">
      <c r="A352" s="15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 spans="1:30" ht="22.5" customHeight="1" x14ac:dyDescent="0.15">
      <c r="A353" s="15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 spans="1:30" ht="22.5" customHeight="1" x14ac:dyDescent="0.15">
      <c r="A354" s="15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 spans="1:30" ht="22.5" customHeight="1" x14ac:dyDescent="0.15">
      <c r="A355" s="15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 spans="1:30" ht="22.5" customHeight="1" x14ac:dyDescent="0.15">
      <c r="A356" s="15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 spans="1:30" ht="22.5" customHeight="1" x14ac:dyDescent="0.15">
      <c r="A357" s="15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 spans="1:30" ht="22.5" customHeight="1" x14ac:dyDescent="0.15">
      <c r="A358" s="15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 spans="1:30" ht="22.5" customHeight="1" x14ac:dyDescent="0.15">
      <c r="A359" s="15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 spans="1:30" ht="22.5" customHeight="1" x14ac:dyDescent="0.15">
      <c r="A360" s="15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 spans="1:30" ht="22.5" customHeight="1" x14ac:dyDescent="0.15">
      <c r="A361" s="15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 spans="1:30" ht="22.5" customHeight="1" x14ac:dyDescent="0.15">
      <c r="A362" s="15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 spans="1:30" ht="22.5" customHeight="1" x14ac:dyDescent="0.15">
      <c r="A363" s="15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 spans="1:30" ht="22.5" customHeight="1" x14ac:dyDescent="0.15">
      <c r="A364" s="15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 spans="1:30" ht="22.5" customHeight="1" x14ac:dyDescent="0.15">
      <c r="A365" s="15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 spans="1:30" ht="22.5" customHeight="1" x14ac:dyDescent="0.15">
      <c r="A366" s="15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 spans="1:30" ht="22.5" customHeight="1" x14ac:dyDescent="0.15">
      <c r="A367" s="15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 spans="1:30" ht="22.5" customHeight="1" x14ac:dyDescent="0.15">
      <c r="A368" s="15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 spans="1:30" ht="22.5" customHeight="1" x14ac:dyDescent="0.15">
      <c r="A369" s="15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 spans="1:30" ht="22.5" customHeight="1" x14ac:dyDescent="0.15">
      <c r="A370" s="15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 spans="1:30" ht="22.5" customHeight="1" x14ac:dyDescent="0.15">
      <c r="A371" s="15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 spans="1:30" ht="22.5" customHeight="1" x14ac:dyDescent="0.15">
      <c r="A372" s="15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 spans="1:30" ht="22.5" customHeight="1" x14ac:dyDescent="0.15">
      <c r="A373" s="15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 spans="1:30" ht="22.5" customHeight="1" x14ac:dyDescent="0.15">
      <c r="A374" s="15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 spans="1:30" ht="22.5" customHeight="1" x14ac:dyDescent="0.15">
      <c r="A375" s="15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 spans="1:30" ht="22.5" customHeight="1" x14ac:dyDescent="0.15">
      <c r="A376" s="15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 spans="1:30" ht="22.5" customHeight="1" x14ac:dyDescent="0.15">
      <c r="A377" s="15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 spans="1:30" ht="22.5" customHeight="1" x14ac:dyDescent="0.15">
      <c r="A378" s="15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 spans="1:30" ht="22.5" customHeight="1" x14ac:dyDescent="0.15">
      <c r="A379" s="15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 spans="1:30" ht="22.5" customHeight="1" x14ac:dyDescent="0.15">
      <c r="A380" s="15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 spans="1:30" ht="22.5" customHeight="1" x14ac:dyDescent="0.15">
      <c r="A381" s="15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 spans="1:30" ht="22.5" customHeight="1" x14ac:dyDescent="0.15">
      <c r="A382" s="15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 spans="1:30" ht="22.5" customHeight="1" x14ac:dyDescent="0.15">
      <c r="A383" s="15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 spans="1:30" ht="22.5" customHeight="1" x14ac:dyDescent="0.15">
      <c r="A384" s="15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 spans="1:30" ht="22.5" customHeight="1" x14ac:dyDescent="0.15">
      <c r="A385" s="15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 spans="1:30" ht="22.5" customHeight="1" x14ac:dyDescent="0.15">
      <c r="A386" s="15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 spans="1:30" ht="22.5" customHeight="1" x14ac:dyDescent="0.15">
      <c r="A387" s="15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 spans="1:30" ht="22.5" customHeight="1" x14ac:dyDescent="0.15">
      <c r="A388" s="15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 spans="1:30" ht="22.5" customHeight="1" x14ac:dyDescent="0.15">
      <c r="A389" s="15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 spans="1:30" ht="22.5" customHeight="1" x14ac:dyDescent="0.15">
      <c r="A390" s="15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 spans="1:30" ht="22.5" customHeight="1" x14ac:dyDescent="0.15">
      <c r="A391" s="15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 spans="1:30" ht="22.5" customHeight="1" x14ac:dyDescent="0.15">
      <c r="A392" s="15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 spans="1:30" ht="22.5" customHeight="1" x14ac:dyDescent="0.15">
      <c r="A393" s="15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 spans="1:30" ht="22.5" customHeight="1" x14ac:dyDescent="0.15">
      <c r="A394" s="15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 spans="1:30" ht="22.5" customHeight="1" x14ac:dyDescent="0.15">
      <c r="A395" s="15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 spans="1:30" ht="22.5" customHeight="1" x14ac:dyDescent="0.15">
      <c r="A396" s="15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 spans="1:30" ht="22.5" customHeight="1" x14ac:dyDescent="0.15">
      <c r="A397" s="15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 spans="1:30" ht="22.5" customHeight="1" x14ac:dyDescent="0.15">
      <c r="A398" s="15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 spans="1:30" ht="22.5" customHeight="1" x14ac:dyDescent="0.15">
      <c r="A399" s="15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 spans="1:30" ht="22.5" customHeight="1" x14ac:dyDescent="0.15">
      <c r="A400" s="15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 spans="1:30" ht="22.5" customHeight="1" x14ac:dyDescent="0.15">
      <c r="A401" s="15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 spans="1:30" ht="22.5" customHeight="1" x14ac:dyDescent="0.15">
      <c r="A402" s="15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 spans="1:30" ht="22.5" customHeight="1" x14ac:dyDescent="0.15">
      <c r="A403" s="15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 spans="1:30" ht="22.5" customHeight="1" x14ac:dyDescent="0.15">
      <c r="A404" s="15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 spans="1:30" ht="22.5" customHeight="1" x14ac:dyDescent="0.15">
      <c r="A405" s="15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 spans="1:30" ht="22.5" customHeight="1" x14ac:dyDescent="0.15">
      <c r="A406" s="15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 spans="1:30" ht="22.5" customHeight="1" x14ac:dyDescent="0.15">
      <c r="A407" s="15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 spans="1:30" ht="22.5" customHeight="1" x14ac:dyDescent="0.15">
      <c r="A408" s="15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 spans="1:30" ht="22.5" customHeight="1" x14ac:dyDescent="0.15">
      <c r="A409" s="15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 spans="1:30" ht="22.5" customHeight="1" x14ac:dyDescent="0.15">
      <c r="A410" s="15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 spans="1:30" ht="22.5" customHeight="1" x14ac:dyDescent="0.15">
      <c r="A411" s="15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 spans="1:30" ht="22.5" customHeight="1" x14ac:dyDescent="0.15">
      <c r="A412" s="15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 spans="1:30" ht="22.5" customHeight="1" x14ac:dyDescent="0.15">
      <c r="A413" s="15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 spans="1:30" ht="22.5" customHeight="1" x14ac:dyDescent="0.15">
      <c r="A414" s="15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 spans="1:30" ht="22.5" customHeight="1" x14ac:dyDescent="0.15">
      <c r="A415" s="15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 spans="1:30" ht="22.5" customHeight="1" x14ac:dyDescent="0.15">
      <c r="A416" s="15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 spans="1:30" ht="22.5" customHeight="1" x14ac:dyDescent="0.15">
      <c r="A417" s="15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 spans="1:30" ht="22.5" customHeight="1" x14ac:dyDescent="0.15">
      <c r="A418" s="15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 spans="1:30" ht="22.5" customHeight="1" x14ac:dyDescent="0.15">
      <c r="A419" s="15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 spans="1:30" ht="22.5" customHeight="1" x14ac:dyDescent="0.15">
      <c r="A420" s="15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 spans="1:30" ht="22.5" customHeight="1" x14ac:dyDescent="0.15">
      <c r="A421" s="15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 spans="1:30" ht="22.5" customHeight="1" x14ac:dyDescent="0.15">
      <c r="A422" s="15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 spans="1:30" ht="22.5" customHeight="1" x14ac:dyDescent="0.15">
      <c r="A423" s="15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 spans="1:30" ht="22.5" customHeight="1" x14ac:dyDescent="0.15">
      <c r="A424" s="15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 spans="1:30" ht="22.5" customHeight="1" x14ac:dyDescent="0.15">
      <c r="A425" s="15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 spans="1:30" ht="22.5" customHeight="1" x14ac:dyDescent="0.15">
      <c r="A426" s="15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 spans="1:30" ht="22.5" customHeight="1" x14ac:dyDescent="0.15">
      <c r="A427" s="15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 spans="1:30" ht="22.5" customHeight="1" x14ac:dyDescent="0.15">
      <c r="A428" s="15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 spans="1:30" ht="22.5" customHeight="1" x14ac:dyDescent="0.15">
      <c r="A429" s="15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 spans="1:30" ht="22.5" customHeight="1" x14ac:dyDescent="0.15">
      <c r="A430" s="15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 spans="1:30" ht="22.5" customHeight="1" x14ac:dyDescent="0.15">
      <c r="A431" s="15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 spans="1:30" ht="22.5" customHeight="1" x14ac:dyDescent="0.15">
      <c r="A432" s="15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 spans="1:30" ht="22.5" customHeight="1" x14ac:dyDescent="0.15">
      <c r="A433" s="15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 spans="1:30" ht="22.5" customHeight="1" x14ac:dyDescent="0.15">
      <c r="A434" s="15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 spans="1:30" ht="22.5" customHeight="1" x14ac:dyDescent="0.15">
      <c r="A435" s="15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 spans="1:30" ht="22.5" customHeight="1" x14ac:dyDescent="0.15">
      <c r="A436" s="15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 spans="1:30" ht="22.5" customHeight="1" x14ac:dyDescent="0.15">
      <c r="A437" s="15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 spans="1:30" ht="22.5" customHeight="1" x14ac:dyDescent="0.15">
      <c r="A438" s="15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 spans="1:30" ht="22.5" customHeight="1" x14ac:dyDescent="0.15">
      <c r="A439" s="15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 spans="1:30" ht="22.5" customHeight="1" x14ac:dyDescent="0.15">
      <c r="A440" s="15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 spans="1:30" ht="22.5" customHeight="1" x14ac:dyDescent="0.15">
      <c r="A441" s="15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 spans="1:30" ht="22.5" customHeight="1" x14ac:dyDescent="0.15">
      <c r="A442" s="15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 spans="1:30" ht="22.5" customHeight="1" x14ac:dyDescent="0.15">
      <c r="A443" s="15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 spans="1:30" ht="22.5" customHeight="1" x14ac:dyDescent="0.15">
      <c r="A444" s="15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 spans="1:30" ht="22.5" customHeight="1" x14ac:dyDescent="0.15">
      <c r="A445" s="15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 spans="1:30" ht="22.5" customHeight="1" x14ac:dyDescent="0.15">
      <c r="A446" s="15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 spans="1:30" ht="22.5" customHeight="1" x14ac:dyDescent="0.15">
      <c r="A447" s="15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 spans="1:30" ht="22.5" customHeight="1" x14ac:dyDescent="0.15">
      <c r="A448" s="15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 spans="1:30" ht="22.5" customHeight="1" x14ac:dyDescent="0.15">
      <c r="A449" s="15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 spans="1:30" ht="22.5" customHeight="1" x14ac:dyDescent="0.15">
      <c r="A450" s="15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 spans="1:30" ht="22.5" customHeight="1" x14ac:dyDescent="0.15">
      <c r="A451" s="15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 spans="1:30" ht="22.5" customHeight="1" x14ac:dyDescent="0.15">
      <c r="A452" s="15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 spans="1:30" ht="22.5" customHeight="1" x14ac:dyDescent="0.15">
      <c r="A453" s="15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 spans="1:30" ht="22.5" customHeight="1" x14ac:dyDescent="0.15">
      <c r="A454" s="15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 spans="1:30" ht="22.5" customHeight="1" x14ac:dyDescent="0.15">
      <c r="A455" s="15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 spans="1:30" ht="22.5" customHeight="1" x14ac:dyDescent="0.15">
      <c r="A456" s="15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 spans="1:30" ht="22.5" customHeight="1" x14ac:dyDescent="0.15">
      <c r="A457" s="15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 spans="1:30" ht="22.5" customHeight="1" x14ac:dyDescent="0.15">
      <c r="A458" s="15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 spans="1:30" ht="22.5" customHeight="1" x14ac:dyDescent="0.15">
      <c r="A459" s="15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 spans="1:30" ht="22.5" customHeight="1" x14ac:dyDescent="0.15">
      <c r="A460" s="15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 spans="1:30" ht="22.5" customHeight="1" x14ac:dyDescent="0.15">
      <c r="A461" s="15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 spans="1:30" ht="22.5" customHeight="1" x14ac:dyDescent="0.15">
      <c r="A462" s="15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 spans="1:30" ht="22.5" customHeight="1" x14ac:dyDescent="0.15">
      <c r="A463" s="15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 spans="1:30" ht="22.5" customHeight="1" x14ac:dyDescent="0.15">
      <c r="A464" s="15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 spans="1:30" ht="22.5" customHeight="1" x14ac:dyDescent="0.15">
      <c r="A465" s="15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 spans="1:30" ht="22.5" customHeight="1" x14ac:dyDescent="0.15">
      <c r="A466" s="15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 spans="1:30" ht="22.5" customHeight="1" x14ac:dyDescent="0.15">
      <c r="A467" s="15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 spans="1:30" ht="22.5" customHeight="1" x14ac:dyDescent="0.15">
      <c r="A468" s="15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 spans="1:30" ht="22.5" customHeight="1" x14ac:dyDescent="0.15">
      <c r="A469" s="15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 spans="1:30" ht="22.5" customHeight="1" x14ac:dyDescent="0.15">
      <c r="A470" s="15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 spans="1:30" ht="22.5" customHeight="1" x14ac:dyDescent="0.15">
      <c r="A471" s="15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 spans="1:30" ht="22.5" customHeight="1" x14ac:dyDescent="0.15">
      <c r="A472" s="15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 spans="1:30" ht="22.5" customHeight="1" x14ac:dyDescent="0.15">
      <c r="A473" s="15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 spans="1:30" ht="22.5" customHeight="1" x14ac:dyDescent="0.15">
      <c r="A474" s="15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 spans="1:30" ht="22.5" customHeight="1" x14ac:dyDescent="0.15">
      <c r="A475" s="15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 spans="1:30" ht="22.5" customHeight="1" x14ac:dyDescent="0.15">
      <c r="A476" s="15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 spans="1:30" ht="22.5" customHeight="1" x14ac:dyDescent="0.15">
      <c r="A477" s="15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 spans="1:30" ht="22.5" customHeight="1" x14ac:dyDescent="0.15">
      <c r="A478" s="15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 spans="1:30" ht="22.5" customHeight="1" x14ac:dyDescent="0.15">
      <c r="A479" s="15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 spans="1:30" ht="22.5" customHeight="1" x14ac:dyDescent="0.15">
      <c r="A480" s="15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 spans="1:30" ht="22.5" customHeight="1" x14ac:dyDescent="0.15">
      <c r="A481" s="15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 spans="1:30" ht="22.5" customHeight="1" x14ac:dyDescent="0.15">
      <c r="A482" s="15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 spans="1:30" ht="22.5" customHeight="1" x14ac:dyDescent="0.15">
      <c r="A483" s="15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 spans="1:30" ht="22.5" customHeight="1" x14ac:dyDescent="0.15">
      <c r="A484" s="15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 spans="1:30" ht="22.5" customHeight="1" x14ac:dyDescent="0.15">
      <c r="A485" s="15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 spans="1:30" ht="22.5" customHeight="1" x14ac:dyDescent="0.15">
      <c r="A486" s="15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 spans="1:30" ht="22.5" customHeight="1" x14ac:dyDescent="0.15">
      <c r="A487" s="15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 spans="1:30" ht="22.5" customHeight="1" x14ac:dyDescent="0.15">
      <c r="A488" s="15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 spans="1:30" ht="22.5" customHeight="1" x14ac:dyDescent="0.15">
      <c r="A489" s="15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 spans="1:30" ht="22.5" customHeight="1" x14ac:dyDescent="0.15">
      <c r="A490" s="15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 spans="1:30" ht="22.5" customHeight="1" x14ac:dyDescent="0.15">
      <c r="A491" s="15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 spans="1:30" ht="22.5" customHeight="1" x14ac:dyDescent="0.15">
      <c r="A492" s="15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 spans="1:30" ht="22.5" customHeight="1" x14ac:dyDescent="0.15">
      <c r="A493" s="15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 spans="1:30" ht="22.5" customHeight="1" x14ac:dyDescent="0.15">
      <c r="A494" s="15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 spans="1:30" ht="22.5" customHeight="1" x14ac:dyDescent="0.15">
      <c r="A495" s="15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 spans="1:30" ht="22.5" customHeight="1" x14ac:dyDescent="0.15">
      <c r="A496" s="15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 spans="1:30" ht="22.5" customHeight="1" x14ac:dyDescent="0.15">
      <c r="A497" s="15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 spans="1:30" ht="22.5" customHeight="1" x14ac:dyDescent="0.15">
      <c r="A498" s="15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 spans="1:30" ht="22.5" customHeight="1" x14ac:dyDescent="0.15">
      <c r="A499" s="15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 spans="1:30" ht="22.5" customHeight="1" x14ac:dyDescent="0.15">
      <c r="A500" s="15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 spans="1:30" ht="22.5" customHeight="1" x14ac:dyDescent="0.15">
      <c r="A501" s="15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 spans="1:30" ht="22.5" customHeight="1" x14ac:dyDescent="0.15">
      <c r="A502" s="15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 spans="1:30" ht="22.5" customHeight="1" x14ac:dyDescent="0.15">
      <c r="A503" s="15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 spans="1:30" ht="22.5" customHeight="1" x14ac:dyDescent="0.15">
      <c r="A504" s="15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 spans="1:30" ht="22.5" customHeight="1" x14ac:dyDescent="0.15">
      <c r="A505" s="15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 spans="1:30" ht="22.5" customHeight="1" x14ac:dyDescent="0.15">
      <c r="A506" s="15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 spans="1:30" ht="22.5" customHeight="1" x14ac:dyDescent="0.15">
      <c r="A507" s="15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 spans="1:30" ht="22.5" customHeight="1" x14ac:dyDescent="0.15">
      <c r="A508" s="15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 spans="1:30" ht="22.5" customHeight="1" x14ac:dyDescent="0.15">
      <c r="A509" s="15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 spans="1:30" ht="22.5" customHeight="1" x14ac:dyDescent="0.15">
      <c r="A510" s="15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 spans="1:30" ht="22.5" customHeight="1" x14ac:dyDescent="0.15">
      <c r="A511" s="15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 spans="1:30" ht="22.5" customHeight="1" x14ac:dyDescent="0.15">
      <c r="A512" s="15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 spans="1:30" ht="22.5" customHeight="1" x14ac:dyDescent="0.15">
      <c r="A513" s="15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 spans="1:30" ht="22.5" customHeight="1" x14ac:dyDescent="0.15">
      <c r="A514" s="15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 spans="1:30" ht="22.5" customHeight="1" x14ac:dyDescent="0.15">
      <c r="A515" s="15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 spans="1:30" ht="22.5" customHeight="1" x14ac:dyDescent="0.15">
      <c r="A516" s="15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 spans="1:30" ht="22.5" customHeight="1" x14ac:dyDescent="0.15">
      <c r="A517" s="15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 spans="1:30" ht="22.5" customHeight="1" x14ac:dyDescent="0.15">
      <c r="A518" s="15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 spans="1:30" ht="22.5" customHeight="1" x14ac:dyDescent="0.15">
      <c r="A519" s="15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 spans="1:30" ht="22.5" customHeight="1" x14ac:dyDescent="0.15">
      <c r="A520" s="15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 spans="1:30" ht="22.5" customHeight="1" x14ac:dyDescent="0.15">
      <c r="A521" s="15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 spans="1:30" ht="22.5" customHeight="1" x14ac:dyDescent="0.15">
      <c r="A522" s="15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 spans="1:30" ht="22.5" customHeight="1" x14ac:dyDescent="0.15">
      <c r="A523" s="15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 spans="1:30" ht="22.5" customHeight="1" x14ac:dyDescent="0.15">
      <c r="A524" s="15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 spans="1:30" ht="22.5" customHeight="1" x14ac:dyDescent="0.15">
      <c r="A525" s="15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 spans="1:30" ht="22.5" customHeight="1" x14ac:dyDescent="0.15">
      <c r="A526" s="15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 spans="1:30" ht="22.5" customHeight="1" x14ac:dyDescent="0.15">
      <c r="A527" s="15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 spans="1:30" ht="22.5" customHeight="1" x14ac:dyDescent="0.15">
      <c r="A528" s="15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 spans="1:30" ht="22.5" customHeight="1" x14ac:dyDescent="0.15">
      <c r="A529" s="15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 spans="1:30" ht="22.5" customHeight="1" x14ac:dyDescent="0.15">
      <c r="A530" s="15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 spans="1:30" ht="22.5" customHeight="1" x14ac:dyDescent="0.15">
      <c r="A531" s="15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 spans="1:30" ht="22.5" customHeight="1" x14ac:dyDescent="0.15">
      <c r="A532" s="15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 spans="1:30" ht="22.5" customHeight="1" x14ac:dyDescent="0.15">
      <c r="A533" s="15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 spans="1:30" ht="22.5" customHeight="1" x14ac:dyDescent="0.15">
      <c r="A534" s="15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 spans="1:30" ht="22.5" customHeight="1" x14ac:dyDescent="0.15">
      <c r="A535" s="15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 spans="1:30" ht="22.5" customHeight="1" x14ac:dyDescent="0.15">
      <c r="A536" s="15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 spans="1:30" ht="22.5" customHeight="1" x14ac:dyDescent="0.15">
      <c r="A537" s="15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 spans="1:30" ht="22.5" customHeight="1" x14ac:dyDescent="0.15">
      <c r="A538" s="15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 spans="1:30" ht="22.5" customHeight="1" x14ac:dyDescent="0.15">
      <c r="A539" s="15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 spans="1:30" ht="22.5" customHeight="1" x14ac:dyDescent="0.15">
      <c r="A540" s="15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 spans="1:30" ht="22.5" customHeight="1" x14ac:dyDescent="0.15">
      <c r="A541" s="15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 spans="1:30" ht="22.5" customHeight="1" x14ac:dyDescent="0.15">
      <c r="A542" s="15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 spans="1:30" ht="22.5" customHeight="1" x14ac:dyDescent="0.15">
      <c r="A543" s="15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 spans="1:30" ht="22.5" customHeight="1" x14ac:dyDescent="0.15">
      <c r="A544" s="15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 spans="1:30" ht="22.5" customHeight="1" x14ac:dyDescent="0.15">
      <c r="A545" s="15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 spans="1:30" ht="22.5" customHeight="1" x14ac:dyDescent="0.15">
      <c r="A546" s="15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 spans="1:30" ht="22.5" customHeight="1" x14ac:dyDescent="0.15">
      <c r="A547" s="15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 spans="1:30" ht="22.5" customHeight="1" x14ac:dyDescent="0.15">
      <c r="A548" s="15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 spans="1:30" ht="22.5" customHeight="1" x14ac:dyDescent="0.15">
      <c r="A549" s="15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 spans="1:30" ht="22.5" customHeight="1" x14ac:dyDescent="0.15">
      <c r="A550" s="15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 spans="1:30" ht="22.5" customHeight="1" x14ac:dyDescent="0.15">
      <c r="A551" s="15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 spans="1:30" ht="22.5" customHeight="1" x14ac:dyDescent="0.15">
      <c r="A552" s="15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 spans="1:30" ht="22.5" customHeight="1" x14ac:dyDescent="0.15">
      <c r="A553" s="15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 spans="1:30" ht="22.5" customHeight="1" x14ac:dyDescent="0.15">
      <c r="A554" s="15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 spans="1:30" ht="22.5" customHeight="1" x14ac:dyDescent="0.15">
      <c r="A555" s="15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 spans="1:30" ht="22.5" customHeight="1" x14ac:dyDescent="0.15">
      <c r="A556" s="15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 spans="1:30" ht="22.5" customHeight="1" x14ac:dyDescent="0.15">
      <c r="A557" s="15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 spans="1:30" ht="22.5" customHeight="1" x14ac:dyDescent="0.15">
      <c r="A558" s="15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 spans="1:30" ht="22.5" customHeight="1" x14ac:dyDescent="0.15">
      <c r="A559" s="15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 spans="1:30" ht="22.5" customHeight="1" x14ac:dyDescent="0.15">
      <c r="A560" s="15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 spans="1:30" ht="22.5" customHeight="1" x14ac:dyDescent="0.15">
      <c r="A561" s="15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 spans="1:30" ht="22.5" customHeight="1" x14ac:dyDescent="0.15">
      <c r="A562" s="15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 spans="1:30" ht="22.5" customHeight="1" x14ac:dyDescent="0.15">
      <c r="A563" s="15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 spans="1:30" ht="22.5" customHeight="1" x14ac:dyDescent="0.15">
      <c r="A564" s="15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 spans="1:30" ht="22.5" customHeight="1" x14ac:dyDescent="0.15">
      <c r="A565" s="15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 spans="1:30" ht="22.5" customHeight="1" x14ac:dyDescent="0.15">
      <c r="A566" s="15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 spans="1:30" ht="22.5" customHeight="1" x14ac:dyDescent="0.15">
      <c r="A567" s="15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 spans="1:30" ht="22.5" customHeight="1" x14ac:dyDescent="0.15">
      <c r="A568" s="15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 spans="1:30" ht="22.5" customHeight="1" x14ac:dyDescent="0.15">
      <c r="A569" s="15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 spans="1:30" ht="22.5" customHeight="1" x14ac:dyDescent="0.15">
      <c r="A570" s="15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 spans="1:30" ht="22.5" customHeight="1" x14ac:dyDescent="0.15">
      <c r="A571" s="15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 spans="1:30" ht="22.5" customHeight="1" x14ac:dyDescent="0.15">
      <c r="A572" s="15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 spans="1:30" ht="22.5" customHeight="1" x14ac:dyDescent="0.15">
      <c r="A573" s="15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 spans="1:30" ht="22.5" customHeight="1" x14ac:dyDescent="0.15">
      <c r="A574" s="15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 spans="1:30" ht="22.5" customHeight="1" x14ac:dyDescent="0.15">
      <c r="A575" s="15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 spans="1:30" ht="22.5" customHeight="1" x14ac:dyDescent="0.15">
      <c r="A576" s="15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 spans="1:30" ht="22.5" customHeight="1" x14ac:dyDescent="0.15">
      <c r="A577" s="15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 spans="1:30" ht="22.5" customHeight="1" x14ac:dyDescent="0.15">
      <c r="A578" s="15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 spans="1:30" ht="22.5" customHeight="1" x14ac:dyDescent="0.15">
      <c r="A579" s="15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 spans="1:30" ht="22.5" customHeight="1" x14ac:dyDescent="0.15">
      <c r="A580" s="15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 spans="1:30" ht="22.5" customHeight="1" x14ac:dyDescent="0.15">
      <c r="A581" s="15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 spans="1:30" ht="22.5" customHeight="1" x14ac:dyDescent="0.15">
      <c r="A582" s="15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 spans="1:30" ht="22.5" customHeight="1" x14ac:dyDescent="0.15">
      <c r="A583" s="15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 spans="1:30" ht="22.5" customHeight="1" x14ac:dyDescent="0.15">
      <c r="A584" s="15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 spans="1:30" ht="22.5" customHeight="1" x14ac:dyDescent="0.15">
      <c r="A585" s="15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 spans="1:30" ht="22.5" customHeight="1" x14ac:dyDescent="0.15">
      <c r="A586" s="15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 spans="1:30" ht="22.5" customHeight="1" x14ac:dyDescent="0.15">
      <c r="A587" s="15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 spans="1:30" ht="22.5" customHeight="1" x14ac:dyDescent="0.15">
      <c r="A588" s="15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 spans="1:30" ht="22.5" customHeight="1" x14ac:dyDescent="0.15">
      <c r="A589" s="15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 spans="1:30" ht="22.5" customHeight="1" x14ac:dyDescent="0.15">
      <c r="A590" s="15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 spans="1:30" ht="22.5" customHeight="1" x14ac:dyDescent="0.15">
      <c r="A591" s="15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 spans="1:30" ht="22.5" customHeight="1" x14ac:dyDescent="0.15">
      <c r="A592" s="15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 spans="1:30" ht="22.5" customHeight="1" x14ac:dyDescent="0.15">
      <c r="A593" s="15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 spans="1:30" ht="22.5" customHeight="1" x14ac:dyDescent="0.15">
      <c r="A594" s="15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 spans="1:30" ht="22.5" customHeight="1" x14ac:dyDescent="0.15">
      <c r="A595" s="15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 spans="1:30" ht="22.5" customHeight="1" x14ac:dyDescent="0.15">
      <c r="A596" s="15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 spans="1:30" ht="22.5" customHeight="1" x14ac:dyDescent="0.15">
      <c r="A597" s="15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 spans="1:30" ht="22.5" customHeight="1" x14ac:dyDescent="0.15">
      <c r="A598" s="15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 spans="1:30" ht="22.5" customHeight="1" x14ac:dyDescent="0.15">
      <c r="A599" s="15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 spans="1:30" ht="22.5" customHeight="1" x14ac:dyDescent="0.15">
      <c r="A600" s="15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 spans="1:30" ht="22.5" customHeight="1" x14ac:dyDescent="0.15">
      <c r="A601" s="15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 spans="1:30" ht="22.5" customHeight="1" x14ac:dyDescent="0.15">
      <c r="A602" s="15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 spans="1:30" ht="22.5" customHeight="1" x14ac:dyDescent="0.15">
      <c r="A603" s="15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 spans="1:30" ht="22.5" customHeight="1" x14ac:dyDescent="0.15">
      <c r="A604" s="15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 spans="1:30" ht="22.5" customHeight="1" x14ac:dyDescent="0.15">
      <c r="A605" s="15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 spans="1:30" ht="22.5" customHeight="1" x14ac:dyDescent="0.15">
      <c r="A606" s="15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 spans="1:30" ht="22.5" customHeight="1" x14ac:dyDescent="0.15">
      <c r="A607" s="15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 spans="1:30" ht="22.5" customHeight="1" x14ac:dyDescent="0.15">
      <c r="A608" s="15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 spans="1:30" ht="22.5" customHeight="1" x14ac:dyDescent="0.15">
      <c r="A609" s="15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 spans="1:30" ht="22.5" customHeight="1" x14ac:dyDescent="0.15">
      <c r="A610" s="15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 spans="1:30" ht="22.5" customHeight="1" x14ac:dyDescent="0.15">
      <c r="A611" s="15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 spans="1:30" ht="22.5" customHeight="1" x14ac:dyDescent="0.15">
      <c r="A612" s="15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 spans="1:30" ht="22.5" customHeight="1" x14ac:dyDescent="0.15">
      <c r="A613" s="15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 spans="1:30" ht="22.5" customHeight="1" x14ac:dyDescent="0.15">
      <c r="A614" s="15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 spans="1:30" ht="22.5" customHeight="1" x14ac:dyDescent="0.15">
      <c r="A615" s="15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 spans="1:30" ht="22.5" customHeight="1" x14ac:dyDescent="0.15">
      <c r="A616" s="15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 spans="1:30" ht="22.5" customHeight="1" x14ac:dyDescent="0.15">
      <c r="A617" s="15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 spans="1:30" ht="22.5" customHeight="1" x14ac:dyDescent="0.15">
      <c r="A618" s="15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 spans="1:30" ht="22.5" customHeight="1" x14ac:dyDescent="0.15">
      <c r="A619" s="15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 spans="1:30" ht="22.5" customHeight="1" x14ac:dyDescent="0.15">
      <c r="A620" s="15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 spans="1:30" ht="22.5" customHeight="1" x14ac:dyDescent="0.15">
      <c r="A621" s="15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 spans="1:30" ht="22.5" customHeight="1" x14ac:dyDescent="0.15">
      <c r="A622" s="15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 spans="1:30" ht="22.5" customHeight="1" x14ac:dyDescent="0.15">
      <c r="A623" s="15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 spans="1:30" ht="22.5" customHeight="1" x14ac:dyDescent="0.15">
      <c r="A624" s="15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 spans="1:30" ht="22.5" customHeight="1" x14ac:dyDescent="0.15">
      <c r="A625" s="15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 spans="1:30" ht="22.5" customHeight="1" x14ac:dyDescent="0.15">
      <c r="A626" s="15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 spans="1:30" ht="22.5" customHeight="1" x14ac:dyDescent="0.15">
      <c r="A627" s="15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 spans="1:30" ht="22.5" customHeight="1" x14ac:dyDescent="0.15">
      <c r="A628" s="15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 spans="1:30" ht="22.5" customHeight="1" x14ac:dyDescent="0.15">
      <c r="A629" s="15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 spans="1:30" ht="22.5" customHeight="1" x14ac:dyDescent="0.15">
      <c r="A630" s="15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 spans="1:30" ht="22.5" customHeight="1" x14ac:dyDescent="0.15">
      <c r="A631" s="15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 spans="1:30" ht="22.5" customHeight="1" x14ac:dyDescent="0.15">
      <c r="A632" s="15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 spans="1:30" ht="22.5" customHeight="1" x14ac:dyDescent="0.15">
      <c r="A633" s="15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 spans="1:30" ht="22.5" customHeight="1" x14ac:dyDescent="0.15">
      <c r="A634" s="15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 spans="1:30" ht="22.5" customHeight="1" x14ac:dyDescent="0.15">
      <c r="A635" s="15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 spans="1:30" ht="22.5" customHeight="1" x14ac:dyDescent="0.15">
      <c r="A636" s="15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 spans="1:30" ht="22.5" customHeight="1" x14ac:dyDescent="0.15">
      <c r="A637" s="15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 spans="1:30" ht="22.5" customHeight="1" x14ac:dyDescent="0.15">
      <c r="A638" s="15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 spans="1:30" ht="22.5" customHeight="1" x14ac:dyDescent="0.15">
      <c r="A639" s="15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 spans="1:30" ht="22.5" customHeight="1" x14ac:dyDescent="0.15">
      <c r="A640" s="15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 spans="1:30" ht="22.5" customHeight="1" x14ac:dyDescent="0.15">
      <c r="A641" s="15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 spans="1:30" ht="22.5" customHeight="1" x14ac:dyDescent="0.15">
      <c r="A642" s="15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 spans="1:30" ht="22.5" customHeight="1" x14ac:dyDescent="0.15">
      <c r="A643" s="15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 spans="1:30" ht="22.5" customHeight="1" x14ac:dyDescent="0.15">
      <c r="A644" s="15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 spans="1:30" ht="22.5" customHeight="1" x14ac:dyDescent="0.15">
      <c r="A645" s="15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 spans="1:30" ht="22.5" customHeight="1" x14ac:dyDescent="0.15">
      <c r="A646" s="15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 spans="1:30" ht="22.5" customHeight="1" x14ac:dyDescent="0.15">
      <c r="A647" s="15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 spans="1:30" ht="22.5" customHeight="1" x14ac:dyDescent="0.15">
      <c r="A648" s="15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 spans="1:30" ht="22.5" customHeight="1" x14ac:dyDescent="0.15">
      <c r="A649" s="15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 spans="1:30" ht="22.5" customHeight="1" x14ac:dyDescent="0.15">
      <c r="A650" s="15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 spans="1:30" ht="22.5" customHeight="1" x14ac:dyDescent="0.15">
      <c r="A651" s="15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 spans="1:30" ht="22.5" customHeight="1" x14ac:dyDescent="0.15">
      <c r="A652" s="15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 spans="1:30" ht="22.5" customHeight="1" x14ac:dyDescent="0.15">
      <c r="A653" s="15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 spans="1:30" ht="22.5" customHeight="1" x14ac:dyDescent="0.15">
      <c r="A654" s="15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 spans="1:30" ht="22.5" customHeight="1" x14ac:dyDescent="0.15">
      <c r="A655" s="15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 spans="1:30" ht="22.5" customHeight="1" x14ac:dyDescent="0.15">
      <c r="A656" s="15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 spans="1:30" ht="22.5" customHeight="1" x14ac:dyDescent="0.15">
      <c r="A657" s="15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 spans="1:30" ht="22.5" customHeight="1" x14ac:dyDescent="0.15">
      <c r="A658" s="15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 spans="1:30" ht="22.5" customHeight="1" x14ac:dyDescent="0.15">
      <c r="A659" s="15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 spans="1:30" ht="22.5" customHeight="1" x14ac:dyDescent="0.15">
      <c r="A660" s="15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 spans="1:30" ht="22.5" customHeight="1" x14ac:dyDescent="0.15">
      <c r="A661" s="15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 spans="1:30" ht="22.5" customHeight="1" x14ac:dyDescent="0.15">
      <c r="A662" s="15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 spans="1:30" ht="22.5" customHeight="1" x14ac:dyDescent="0.15">
      <c r="A663" s="15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 spans="1:30" ht="22.5" customHeight="1" x14ac:dyDescent="0.15">
      <c r="A664" s="15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 spans="1:30" ht="22.5" customHeight="1" x14ac:dyDescent="0.15">
      <c r="A665" s="15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 spans="1:30" ht="22.5" customHeight="1" x14ac:dyDescent="0.15">
      <c r="A666" s="15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 spans="1:30" ht="22.5" customHeight="1" x14ac:dyDescent="0.15">
      <c r="A667" s="15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 spans="1:30" ht="22.5" customHeight="1" x14ac:dyDescent="0.15">
      <c r="A668" s="15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 spans="1:30" ht="22.5" customHeight="1" x14ac:dyDescent="0.15">
      <c r="A669" s="15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 spans="1:30" ht="22.5" customHeight="1" x14ac:dyDescent="0.15">
      <c r="A670" s="15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 spans="1:30" ht="22.5" customHeight="1" x14ac:dyDescent="0.15">
      <c r="A671" s="15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 spans="1:30" ht="22.5" customHeight="1" x14ac:dyDescent="0.15">
      <c r="A672" s="15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 spans="1:30" ht="22.5" customHeight="1" x14ac:dyDescent="0.15">
      <c r="A673" s="15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 spans="1:30" ht="22.5" customHeight="1" x14ac:dyDescent="0.15">
      <c r="A674" s="15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 spans="1:30" ht="22.5" customHeight="1" x14ac:dyDescent="0.15">
      <c r="A675" s="15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 spans="1:30" ht="22.5" customHeight="1" x14ac:dyDescent="0.15">
      <c r="A676" s="15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 spans="1:30" ht="22.5" customHeight="1" x14ac:dyDescent="0.15">
      <c r="A677" s="15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 spans="1:30" ht="22.5" customHeight="1" x14ac:dyDescent="0.15">
      <c r="A678" s="15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 spans="1:30" ht="22.5" customHeight="1" x14ac:dyDescent="0.15">
      <c r="A679" s="15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 spans="1:30" ht="22.5" customHeight="1" x14ac:dyDescent="0.15">
      <c r="A680" s="15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 spans="1:30" ht="22.5" customHeight="1" x14ac:dyDescent="0.15">
      <c r="A681" s="15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 spans="1:30" ht="22.5" customHeight="1" x14ac:dyDescent="0.15">
      <c r="A682" s="15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 spans="1:30" ht="22.5" customHeight="1" x14ac:dyDescent="0.15">
      <c r="A683" s="15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 spans="1:30" ht="22.5" customHeight="1" x14ac:dyDescent="0.15">
      <c r="A684" s="15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 spans="1:30" ht="22.5" customHeight="1" x14ac:dyDescent="0.15">
      <c r="A685" s="15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 spans="1:30" ht="22.5" customHeight="1" x14ac:dyDescent="0.15">
      <c r="A686" s="15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 spans="1:30" ht="22.5" customHeight="1" x14ac:dyDescent="0.15">
      <c r="A687" s="15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 spans="1:30" ht="22.5" customHeight="1" x14ac:dyDescent="0.15">
      <c r="A688" s="15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 spans="1:30" ht="22.5" customHeight="1" x14ac:dyDescent="0.15">
      <c r="A689" s="15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 spans="1:30" ht="22.5" customHeight="1" x14ac:dyDescent="0.15">
      <c r="A690" s="15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 spans="1:30" ht="22.5" customHeight="1" x14ac:dyDescent="0.15">
      <c r="A691" s="15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 spans="1:30" ht="22.5" customHeight="1" x14ac:dyDescent="0.15">
      <c r="A692" s="15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 spans="1:30" ht="22.5" customHeight="1" x14ac:dyDescent="0.15">
      <c r="A693" s="15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 spans="1:30" ht="22.5" customHeight="1" x14ac:dyDescent="0.15">
      <c r="A694" s="15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 spans="1:30" ht="22.5" customHeight="1" x14ac:dyDescent="0.15">
      <c r="A695" s="15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 spans="1:30" ht="22.5" customHeight="1" x14ac:dyDescent="0.15">
      <c r="A696" s="15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 spans="1:30" ht="22.5" customHeight="1" x14ac:dyDescent="0.15">
      <c r="A697" s="15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 spans="1:30" ht="22.5" customHeight="1" x14ac:dyDescent="0.15">
      <c r="A698" s="15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 spans="1:30" ht="22.5" customHeight="1" x14ac:dyDescent="0.15">
      <c r="A699" s="15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 spans="1:30" ht="22.5" customHeight="1" x14ac:dyDescent="0.15">
      <c r="A700" s="15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 spans="1:30" ht="22.5" customHeight="1" x14ac:dyDescent="0.15">
      <c r="A701" s="15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 spans="1:30" ht="22.5" customHeight="1" x14ac:dyDescent="0.15">
      <c r="A702" s="15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 spans="1:30" ht="22.5" customHeight="1" x14ac:dyDescent="0.15">
      <c r="A703" s="15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 spans="1:30" ht="22.5" customHeight="1" x14ac:dyDescent="0.15">
      <c r="A704" s="15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 spans="1:30" ht="22.5" customHeight="1" x14ac:dyDescent="0.15">
      <c r="A705" s="15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 spans="1:30" ht="22.5" customHeight="1" x14ac:dyDescent="0.15">
      <c r="A706" s="15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 spans="1:30" ht="22.5" customHeight="1" x14ac:dyDescent="0.15">
      <c r="A707" s="15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 spans="1:30" ht="22.5" customHeight="1" x14ac:dyDescent="0.15">
      <c r="A708" s="15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 spans="1:30" ht="22.5" customHeight="1" x14ac:dyDescent="0.15">
      <c r="A709" s="15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 spans="1:30" ht="22.5" customHeight="1" x14ac:dyDescent="0.15">
      <c r="A710" s="15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 spans="1:30" ht="22.5" customHeight="1" x14ac:dyDescent="0.15">
      <c r="A711" s="15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 spans="1:30" ht="22.5" customHeight="1" x14ac:dyDescent="0.15">
      <c r="A712" s="15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 spans="1:30" ht="22.5" customHeight="1" x14ac:dyDescent="0.15">
      <c r="A713" s="15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 spans="1:30" ht="22.5" customHeight="1" x14ac:dyDescent="0.15">
      <c r="A714" s="15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 spans="1:30" ht="22.5" customHeight="1" x14ac:dyDescent="0.15">
      <c r="A715" s="15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 spans="1:30" ht="22.5" customHeight="1" x14ac:dyDescent="0.15">
      <c r="A716" s="15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 spans="1:30" ht="22.5" customHeight="1" x14ac:dyDescent="0.15">
      <c r="A717" s="15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 spans="1:30" ht="22.5" customHeight="1" x14ac:dyDescent="0.15">
      <c r="A718" s="15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 spans="1:30" ht="22.5" customHeight="1" x14ac:dyDescent="0.15">
      <c r="A719" s="15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 spans="1:30" ht="22.5" customHeight="1" x14ac:dyDescent="0.15">
      <c r="A720" s="15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 spans="1:30" ht="22.5" customHeight="1" x14ac:dyDescent="0.15">
      <c r="A721" s="15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 spans="1:30" ht="22.5" customHeight="1" x14ac:dyDescent="0.15">
      <c r="A722" s="15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 spans="1:30" ht="22.5" customHeight="1" x14ac:dyDescent="0.15">
      <c r="A723" s="15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 spans="1:30" ht="22.5" customHeight="1" x14ac:dyDescent="0.15">
      <c r="A724" s="15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 spans="1:30" ht="22.5" customHeight="1" x14ac:dyDescent="0.15">
      <c r="A725" s="15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 spans="1:30" ht="22.5" customHeight="1" x14ac:dyDescent="0.15">
      <c r="A726" s="15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 spans="1:30" ht="22.5" customHeight="1" x14ac:dyDescent="0.15">
      <c r="A727" s="15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 spans="1:30" ht="22.5" customHeight="1" x14ac:dyDescent="0.15">
      <c r="A728" s="15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 spans="1:30" ht="22.5" customHeight="1" x14ac:dyDescent="0.15">
      <c r="A729" s="15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 spans="1:30" ht="22.5" customHeight="1" x14ac:dyDescent="0.15">
      <c r="A730" s="15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 spans="1:30" ht="22.5" customHeight="1" x14ac:dyDescent="0.15">
      <c r="A731" s="15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 spans="1:30" ht="22.5" customHeight="1" x14ac:dyDescent="0.15">
      <c r="A732" s="15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 spans="1:30" ht="22.5" customHeight="1" x14ac:dyDescent="0.15">
      <c r="A733" s="15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 spans="1:30" ht="22.5" customHeight="1" x14ac:dyDescent="0.15">
      <c r="A734" s="15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 spans="1:30" ht="22.5" customHeight="1" x14ac:dyDescent="0.15">
      <c r="A735" s="15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 spans="1:30" ht="22.5" customHeight="1" x14ac:dyDescent="0.15">
      <c r="A736" s="15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 spans="1:30" ht="22.5" customHeight="1" x14ac:dyDescent="0.15">
      <c r="A737" s="15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 spans="1:30" ht="22.5" customHeight="1" x14ac:dyDescent="0.15">
      <c r="A738" s="15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 spans="1:30" ht="22.5" customHeight="1" x14ac:dyDescent="0.15">
      <c r="A739" s="15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 spans="1:30" ht="22.5" customHeight="1" x14ac:dyDescent="0.15">
      <c r="A740" s="15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 spans="1:30" ht="22.5" customHeight="1" x14ac:dyDescent="0.15">
      <c r="A741" s="15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 spans="1:30" ht="22.5" customHeight="1" x14ac:dyDescent="0.15">
      <c r="A742" s="15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 spans="1:30" ht="22.5" customHeight="1" x14ac:dyDescent="0.15">
      <c r="A743" s="15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 spans="1:30" ht="22.5" customHeight="1" x14ac:dyDescent="0.15">
      <c r="A744" s="15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 spans="1:30" ht="22.5" customHeight="1" x14ac:dyDescent="0.15">
      <c r="A745" s="15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 spans="1:30" ht="22.5" customHeight="1" x14ac:dyDescent="0.15">
      <c r="A746" s="15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 spans="1:30" ht="22.5" customHeight="1" x14ac:dyDescent="0.15">
      <c r="A747" s="15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 spans="1:30" ht="22.5" customHeight="1" x14ac:dyDescent="0.15">
      <c r="A748" s="15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 spans="1:30" ht="22.5" customHeight="1" x14ac:dyDescent="0.15">
      <c r="A749" s="15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 spans="1:30" ht="22.5" customHeight="1" x14ac:dyDescent="0.15">
      <c r="A750" s="15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 spans="1:30" ht="22.5" customHeight="1" x14ac:dyDescent="0.15">
      <c r="A751" s="15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 spans="1:30" ht="22.5" customHeight="1" x14ac:dyDescent="0.15">
      <c r="A752" s="15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 spans="1:30" ht="22.5" customHeight="1" x14ac:dyDescent="0.15">
      <c r="A753" s="15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 spans="1:30" ht="22.5" customHeight="1" x14ac:dyDescent="0.15">
      <c r="A754" s="15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 spans="1:30" ht="22.5" customHeight="1" x14ac:dyDescent="0.15">
      <c r="A755" s="15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 spans="1:30" ht="22.5" customHeight="1" x14ac:dyDescent="0.15">
      <c r="A756" s="15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 spans="1:30" ht="22.5" customHeight="1" x14ac:dyDescent="0.15">
      <c r="A757" s="15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 spans="1:30" ht="22.5" customHeight="1" x14ac:dyDescent="0.15">
      <c r="A758" s="15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 spans="1:30" ht="22.5" customHeight="1" x14ac:dyDescent="0.15">
      <c r="A759" s="15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 spans="1:30" ht="22.5" customHeight="1" x14ac:dyDescent="0.15">
      <c r="A760" s="15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 spans="1:30" ht="22.5" customHeight="1" x14ac:dyDescent="0.15">
      <c r="A761" s="15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 spans="1:30" ht="22.5" customHeight="1" x14ac:dyDescent="0.15">
      <c r="A762" s="15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 spans="1:30" ht="22.5" customHeight="1" x14ac:dyDescent="0.15">
      <c r="A763" s="15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 spans="1:30" ht="22.5" customHeight="1" x14ac:dyDescent="0.15">
      <c r="A764" s="15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 spans="1:30" ht="22.5" customHeight="1" x14ac:dyDescent="0.15">
      <c r="A765" s="15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 spans="1:30" ht="22.5" customHeight="1" x14ac:dyDescent="0.15">
      <c r="A766" s="15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 spans="1:30" ht="22.5" customHeight="1" x14ac:dyDescent="0.15">
      <c r="A767" s="15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 spans="1:30" ht="22.5" customHeight="1" x14ac:dyDescent="0.15">
      <c r="A768" s="15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 spans="1:30" ht="22.5" customHeight="1" x14ac:dyDescent="0.15">
      <c r="A769" s="15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 spans="1:30" ht="22.5" customHeight="1" x14ac:dyDescent="0.15">
      <c r="A770" s="15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 spans="1:30" ht="22.5" customHeight="1" x14ac:dyDescent="0.15">
      <c r="A771" s="15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 spans="1:30" ht="22.5" customHeight="1" x14ac:dyDescent="0.15">
      <c r="A772" s="15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 spans="1:30" ht="22.5" customHeight="1" x14ac:dyDescent="0.15">
      <c r="A773" s="15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 spans="1:30" ht="22.5" customHeight="1" x14ac:dyDescent="0.15">
      <c r="A774" s="15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 spans="1:30" ht="22.5" customHeight="1" x14ac:dyDescent="0.15">
      <c r="A775" s="15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 spans="1:30" ht="22.5" customHeight="1" x14ac:dyDescent="0.15">
      <c r="A776" s="15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 spans="1:30" ht="22.5" customHeight="1" x14ac:dyDescent="0.15">
      <c r="A777" s="15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 spans="1:30" ht="22.5" customHeight="1" x14ac:dyDescent="0.15">
      <c r="A778" s="15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 spans="1:30" ht="22.5" customHeight="1" x14ac:dyDescent="0.15">
      <c r="A779" s="15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 spans="1:30" ht="22.5" customHeight="1" x14ac:dyDescent="0.15">
      <c r="A780" s="15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 spans="1:30" ht="22.5" customHeight="1" x14ac:dyDescent="0.15">
      <c r="A781" s="15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 spans="1:30" ht="22.5" customHeight="1" x14ac:dyDescent="0.15">
      <c r="A782" s="15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 spans="1:30" ht="22.5" customHeight="1" x14ac:dyDescent="0.15">
      <c r="A783" s="15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 spans="1:30" ht="22.5" customHeight="1" x14ac:dyDescent="0.15">
      <c r="A784" s="15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 spans="1:30" ht="22.5" customHeight="1" x14ac:dyDescent="0.15">
      <c r="A785" s="15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 spans="1:30" ht="22.5" customHeight="1" x14ac:dyDescent="0.15">
      <c r="A786" s="15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 spans="1:30" ht="22.5" customHeight="1" x14ac:dyDescent="0.15">
      <c r="A787" s="15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 spans="1:30" ht="22.5" customHeight="1" x14ac:dyDescent="0.15">
      <c r="A788" s="15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 spans="1:30" ht="22.5" customHeight="1" x14ac:dyDescent="0.15">
      <c r="A789" s="15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 spans="1:30" ht="22.5" customHeight="1" x14ac:dyDescent="0.15">
      <c r="A790" s="15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 spans="1:30" ht="22.5" customHeight="1" x14ac:dyDescent="0.15">
      <c r="A791" s="15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 spans="1:30" ht="22.5" customHeight="1" x14ac:dyDescent="0.15">
      <c r="A792" s="15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 spans="1:30" ht="22.5" customHeight="1" x14ac:dyDescent="0.15">
      <c r="A793" s="15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 spans="1:30" ht="22.5" customHeight="1" x14ac:dyDescent="0.15">
      <c r="A794" s="15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 spans="1:30" ht="22.5" customHeight="1" x14ac:dyDescent="0.15">
      <c r="A795" s="15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 spans="1:30" ht="22.5" customHeight="1" x14ac:dyDescent="0.15">
      <c r="A796" s="15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 spans="1:30" ht="22.5" customHeight="1" x14ac:dyDescent="0.15">
      <c r="A797" s="15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 spans="1:30" ht="22.5" customHeight="1" x14ac:dyDescent="0.15">
      <c r="A798" s="15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 spans="1:30" ht="22.5" customHeight="1" x14ac:dyDescent="0.15">
      <c r="A799" s="15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 spans="1:30" ht="22.5" customHeight="1" x14ac:dyDescent="0.15">
      <c r="A800" s="15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 spans="1:30" ht="22.5" customHeight="1" x14ac:dyDescent="0.15">
      <c r="A801" s="15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 spans="1:30" ht="22.5" customHeight="1" x14ac:dyDescent="0.15">
      <c r="A802" s="15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 spans="1:30" ht="22.5" customHeight="1" x14ac:dyDescent="0.15">
      <c r="A803" s="15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 spans="1:30" ht="22.5" customHeight="1" x14ac:dyDescent="0.15">
      <c r="A804" s="15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 spans="1:30" ht="22.5" customHeight="1" x14ac:dyDescent="0.15">
      <c r="A805" s="15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 spans="1:30" ht="22.5" customHeight="1" x14ac:dyDescent="0.15">
      <c r="A806" s="15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 spans="1:30" ht="22.5" customHeight="1" x14ac:dyDescent="0.15">
      <c r="A807" s="15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 spans="1:30" ht="22.5" customHeight="1" x14ac:dyDescent="0.15">
      <c r="A808" s="15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 spans="1:30" ht="22.5" customHeight="1" x14ac:dyDescent="0.15">
      <c r="A809" s="15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 spans="1:30" ht="22.5" customHeight="1" x14ac:dyDescent="0.15">
      <c r="A810" s="15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 spans="1:30" ht="22.5" customHeight="1" x14ac:dyDescent="0.15">
      <c r="A811" s="15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 spans="1:30" ht="22.5" customHeight="1" x14ac:dyDescent="0.15">
      <c r="A812" s="15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 spans="1:30" ht="22.5" customHeight="1" x14ac:dyDescent="0.15">
      <c r="A813" s="15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 spans="1:30" ht="22.5" customHeight="1" x14ac:dyDescent="0.15">
      <c r="A814" s="15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 spans="1:30" ht="22.5" customHeight="1" x14ac:dyDescent="0.15">
      <c r="A815" s="15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 spans="1:30" ht="22.5" customHeight="1" x14ac:dyDescent="0.15">
      <c r="A816" s="15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 spans="1:30" ht="22.5" customHeight="1" x14ac:dyDescent="0.15">
      <c r="A817" s="15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 spans="1:30" ht="22.5" customHeight="1" x14ac:dyDescent="0.15">
      <c r="A818" s="15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 spans="1:30" ht="22.5" customHeight="1" x14ac:dyDescent="0.15">
      <c r="A819" s="15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 spans="1:30" ht="22.5" customHeight="1" x14ac:dyDescent="0.15">
      <c r="A820" s="15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 spans="1:30" ht="22.5" customHeight="1" x14ac:dyDescent="0.15">
      <c r="A821" s="15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 spans="1:30" ht="22.5" customHeight="1" x14ac:dyDescent="0.15">
      <c r="A822" s="15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 spans="1:30" ht="22.5" customHeight="1" x14ac:dyDescent="0.15">
      <c r="A823" s="15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 spans="1:30" ht="22.5" customHeight="1" x14ac:dyDescent="0.15">
      <c r="A824" s="15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 spans="1:30" ht="22.5" customHeight="1" x14ac:dyDescent="0.15">
      <c r="A825" s="15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 spans="1:30" ht="22.5" customHeight="1" x14ac:dyDescent="0.15">
      <c r="A826" s="15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 spans="1:30" ht="22.5" customHeight="1" x14ac:dyDescent="0.15">
      <c r="A827" s="15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 spans="1:30" ht="22.5" customHeight="1" x14ac:dyDescent="0.15">
      <c r="A828" s="15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 spans="1:30" ht="22.5" customHeight="1" x14ac:dyDescent="0.15">
      <c r="A829" s="15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 spans="1:30" ht="22.5" customHeight="1" x14ac:dyDescent="0.15">
      <c r="A830" s="15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 spans="1:30" ht="22.5" customHeight="1" x14ac:dyDescent="0.15">
      <c r="A831" s="15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 spans="1:30" ht="22.5" customHeight="1" x14ac:dyDescent="0.15">
      <c r="A832" s="15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 spans="1:30" ht="22.5" customHeight="1" x14ac:dyDescent="0.15">
      <c r="A833" s="15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 spans="1:30" ht="22.5" customHeight="1" x14ac:dyDescent="0.15">
      <c r="A834" s="15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 spans="1:30" ht="22.5" customHeight="1" x14ac:dyDescent="0.15">
      <c r="A835" s="15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 spans="1:30" ht="22.5" customHeight="1" x14ac:dyDescent="0.15">
      <c r="A836" s="15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 spans="1:30" ht="22.5" customHeight="1" x14ac:dyDescent="0.15">
      <c r="A837" s="15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 spans="1:30" ht="22.5" customHeight="1" x14ac:dyDescent="0.15">
      <c r="A838" s="15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 spans="1:30" ht="22.5" customHeight="1" x14ac:dyDescent="0.15">
      <c r="A839" s="15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 spans="1:30" ht="22.5" customHeight="1" x14ac:dyDescent="0.15">
      <c r="A840" s="15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 spans="1:30" ht="22.5" customHeight="1" x14ac:dyDescent="0.15">
      <c r="A841" s="15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 spans="1:30" ht="22.5" customHeight="1" x14ac:dyDescent="0.15">
      <c r="A842" s="15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 spans="1:30" ht="22.5" customHeight="1" x14ac:dyDescent="0.15">
      <c r="A843" s="15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 spans="1:30" ht="22.5" customHeight="1" x14ac:dyDescent="0.15">
      <c r="A844" s="15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 spans="1:30" ht="22.5" customHeight="1" x14ac:dyDescent="0.15">
      <c r="A845" s="15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 spans="1:30" ht="22.5" customHeight="1" x14ac:dyDescent="0.15">
      <c r="A846" s="15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 spans="1:30" ht="22.5" customHeight="1" x14ac:dyDescent="0.15">
      <c r="A847" s="15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 spans="1:30" ht="22.5" customHeight="1" x14ac:dyDescent="0.15">
      <c r="A848" s="15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 spans="1:30" ht="22.5" customHeight="1" x14ac:dyDescent="0.15">
      <c r="A849" s="15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 spans="1:30" ht="22.5" customHeight="1" x14ac:dyDescent="0.15">
      <c r="A850" s="15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 spans="1:30" ht="22.5" customHeight="1" x14ac:dyDescent="0.15">
      <c r="A851" s="15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 spans="1:30" ht="22.5" customHeight="1" x14ac:dyDescent="0.15">
      <c r="A852" s="15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 spans="1:30" ht="22.5" customHeight="1" x14ac:dyDescent="0.15">
      <c r="A853" s="15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 spans="1:30" ht="22.5" customHeight="1" x14ac:dyDescent="0.15">
      <c r="A854" s="15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 spans="1:30" ht="22.5" customHeight="1" x14ac:dyDescent="0.15">
      <c r="A855" s="15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 spans="1:30" ht="22.5" customHeight="1" x14ac:dyDescent="0.15">
      <c r="A856" s="15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 spans="1:30" ht="22.5" customHeight="1" x14ac:dyDescent="0.15">
      <c r="A857" s="15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 spans="1:30" ht="22.5" customHeight="1" x14ac:dyDescent="0.15">
      <c r="A858" s="15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 spans="1:30" ht="22.5" customHeight="1" x14ac:dyDescent="0.15">
      <c r="A859" s="15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 spans="1:30" ht="22.5" customHeight="1" x14ac:dyDescent="0.15">
      <c r="A860" s="15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 spans="1:30" ht="22.5" customHeight="1" x14ac:dyDescent="0.15">
      <c r="A861" s="15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 spans="1:30" ht="22.5" customHeight="1" x14ac:dyDescent="0.15">
      <c r="A862" s="15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 spans="1:30" ht="22.5" customHeight="1" x14ac:dyDescent="0.15">
      <c r="A863" s="15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 spans="1:30" ht="22.5" customHeight="1" x14ac:dyDescent="0.15">
      <c r="A864" s="15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 spans="1:30" ht="22.5" customHeight="1" x14ac:dyDescent="0.15">
      <c r="A865" s="15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 spans="1:30" ht="22.5" customHeight="1" x14ac:dyDescent="0.15">
      <c r="A866" s="15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 spans="1:30" ht="22.5" customHeight="1" x14ac:dyDescent="0.15">
      <c r="A867" s="15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 spans="1:30" ht="22.5" customHeight="1" x14ac:dyDescent="0.15">
      <c r="A868" s="15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 spans="1:30" ht="22.5" customHeight="1" x14ac:dyDescent="0.15">
      <c r="A869" s="15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 spans="1:30" ht="22.5" customHeight="1" x14ac:dyDescent="0.15">
      <c r="A870" s="15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 spans="1:30" ht="22.5" customHeight="1" x14ac:dyDescent="0.15">
      <c r="A871" s="15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 spans="1:30" ht="22.5" customHeight="1" x14ac:dyDescent="0.15">
      <c r="A872" s="15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 spans="1:30" ht="22.5" customHeight="1" x14ac:dyDescent="0.15">
      <c r="A873" s="15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 spans="1:30" ht="22.5" customHeight="1" x14ac:dyDescent="0.15">
      <c r="A874" s="15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 spans="1:30" ht="22.5" customHeight="1" x14ac:dyDescent="0.15">
      <c r="A875" s="15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 spans="1:30" ht="22.5" customHeight="1" x14ac:dyDescent="0.15">
      <c r="A876" s="15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 spans="1:30" ht="22.5" customHeight="1" x14ac:dyDescent="0.15">
      <c r="A877" s="15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 spans="1:30" ht="22.5" customHeight="1" x14ac:dyDescent="0.15">
      <c r="A878" s="15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 spans="1:30" ht="22.5" customHeight="1" x14ac:dyDescent="0.15">
      <c r="A879" s="15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 spans="1:30" ht="22.5" customHeight="1" x14ac:dyDescent="0.15">
      <c r="A880" s="15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 spans="1:30" ht="22.5" customHeight="1" x14ac:dyDescent="0.15">
      <c r="A881" s="15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 spans="1:30" ht="22.5" customHeight="1" x14ac:dyDescent="0.15">
      <c r="A882" s="15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 spans="1:30" ht="22.5" customHeight="1" x14ac:dyDescent="0.15">
      <c r="A883" s="15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 spans="1:30" ht="22.5" customHeight="1" x14ac:dyDescent="0.15">
      <c r="A884" s="15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 spans="1:30" ht="22.5" customHeight="1" x14ac:dyDescent="0.15">
      <c r="A885" s="15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 spans="1:30" ht="22.5" customHeight="1" x14ac:dyDescent="0.15">
      <c r="A886" s="15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 spans="1:30" ht="22.5" customHeight="1" x14ac:dyDescent="0.15">
      <c r="A887" s="15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 spans="1:30" ht="22.5" customHeight="1" x14ac:dyDescent="0.15">
      <c r="A888" s="15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 spans="1:30" ht="22.5" customHeight="1" x14ac:dyDescent="0.15">
      <c r="A889" s="15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 spans="1:30" ht="22.5" customHeight="1" x14ac:dyDescent="0.15">
      <c r="A890" s="15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 spans="1:30" ht="22.5" customHeight="1" x14ac:dyDescent="0.15">
      <c r="A891" s="15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 spans="1:30" ht="22.5" customHeight="1" x14ac:dyDescent="0.15">
      <c r="A892" s="15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 spans="1:30" ht="22.5" customHeight="1" x14ac:dyDescent="0.15">
      <c r="A893" s="15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 spans="1:30" ht="22.5" customHeight="1" x14ac:dyDescent="0.15">
      <c r="A894" s="15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 spans="1:30" ht="22.5" customHeight="1" x14ac:dyDescent="0.15">
      <c r="A895" s="15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 spans="1:30" ht="22.5" customHeight="1" x14ac:dyDescent="0.15">
      <c r="A896" s="15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 spans="1:30" ht="22.5" customHeight="1" x14ac:dyDescent="0.15">
      <c r="A897" s="15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 spans="1:30" ht="22.5" customHeight="1" x14ac:dyDescent="0.15">
      <c r="A898" s="15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 spans="1:30" ht="22.5" customHeight="1" x14ac:dyDescent="0.15">
      <c r="A899" s="15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 spans="1:30" ht="22.5" customHeight="1" x14ac:dyDescent="0.15">
      <c r="A900" s="15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 spans="1:30" ht="22.5" customHeight="1" x14ac:dyDescent="0.15">
      <c r="A901" s="15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 spans="1:30" ht="22.5" customHeight="1" x14ac:dyDescent="0.15">
      <c r="A902" s="15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 spans="1:30" ht="22.5" customHeight="1" x14ac:dyDescent="0.15">
      <c r="A903" s="15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 spans="1:30" ht="22.5" customHeight="1" x14ac:dyDescent="0.15">
      <c r="A904" s="15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 spans="1:30" ht="22.5" customHeight="1" x14ac:dyDescent="0.15">
      <c r="A905" s="15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 spans="1:30" ht="22.5" customHeight="1" x14ac:dyDescent="0.15">
      <c r="A906" s="15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 spans="1:30" ht="22.5" customHeight="1" x14ac:dyDescent="0.15">
      <c r="A907" s="15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 spans="1:30" ht="22.5" customHeight="1" x14ac:dyDescent="0.15">
      <c r="A908" s="15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 spans="1:30" ht="22.5" customHeight="1" x14ac:dyDescent="0.15">
      <c r="A909" s="15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 spans="1:30" ht="22.5" customHeight="1" x14ac:dyDescent="0.15">
      <c r="A910" s="15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 spans="1:30" ht="22.5" customHeight="1" x14ac:dyDescent="0.15">
      <c r="A911" s="15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 spans="1:30" ht="22.5" customHeight="1" x14ac:dyDescent="0.15">
      <c r="A912" s="15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 spans="1:30" ht="22.5" customHeight="1" x14ac:dyDescent="0.15">
      <c r="A913" s="15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 spans="1:30" ht="22.5" customHeight="1" x14ac:dyDescent="0.15">
      <c r="A914" s="15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 spans="1:30" ht="22.5" customHeight="1" x14ac:dyDescent="0.15">
      <c r="A915" s="15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 spans="1:30" ht="22.5" customHeight="1" x14ac:dyDescent="0.15">
      <c r="A916" s="15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 spans="1:30" ht="22.5" customHeight="1" x14ac:dyDescent="0.15">
      <c r="A917" s="15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 spans="1:30" ht="22.5" customHeight="1" x14ac:dyDescent="0.15">
      <c r="A918" s="15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 spans="1:30" ht="22.5" customHeight="1" x14ac:dyDescent="0.15">
      <c r="A919" s="15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 spans="1:30" ht="22.5" customHeight="1" x14ac:dyDescent="0.15">
      <c r="A920" s="15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 spans="1:30" ht="22.5" customHeight="1" x14ac:dyDescent="0.15">
      <c r="A921" s="15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 spans="1:30" ht="22.5" customHeight="1" x14ac:dyDescent="0.15">
      <c r="A922" s="15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 spans="1:30" ht="22.5" customHeight="1" x14ac:dyDescent="0.15">
      <c r="A923" s="15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 spans="1:30" ht="22.5" customHeight="1" x14ac:dyDescent="0.15">
      <c r="A924" s="15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 spans="1:30" ht="22.5" customHeight="1" x14ac:dyDescent="0.15">
      <c r="A925" s="15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 spans="1:30" ht="22.5" customHeight="1" x14ac:dyDescent="0.15">
      <c r="A926" s="15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 spans="1:30" ht="22.5" customHeight="1" x14ac:dyDescent="0.15">
      <c r="A927" s="1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 spans="1:30" ht="22.5" customHeight="1" x14ac:dyDescent="0.15">
      <c r="A928" s="15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 spans="1:30" ht="22.5" customHeight="1" x14ac:dyDescent="0.15">
      <c r="A929" s="15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 spans="1:30" ht="22.5" customHeight="1" x14ac:dyDescent="0.15">
      <c r="A930" s="15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 spans="1:30" ht="22.5" customHeight="1" x14ac:dyDescent="0.15">
      <c r="A931" s="15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 spans="1:30" ht="22.5" customHeight="1" x14ac:dyDescent="0.15">
      <c r="A932" s="15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 spans="1:30" ht="22.5" customHeight="1" x14ac:dyDescent="0.15">
      <c r="A933" s="15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 spans="1:30" ht="22.5" customHeight="1" x14ac:dyDescent="0.15">
      <c r="A934" s="15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 spans="1:30" ht="22.5" customHeight="1" x14ac:dyDescent="0.15">
      <c r="A935" s="15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 spans="1:30" ht="22.5" customHeight="1" x14ac:dyDescent="0.15">
      <c r="A936" s="15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 spans="1:30" ht="22.5" customHeight="1" x14ac:dyDescent="0.15">
      <c r="A937" s="15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 spans="1:30" ht="22.5" customHeight="1" x14ac:dyDescent="0.15">
      <c r="A938" s="15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 spans="1:30" ht="22.5" customHeight="1" x14ac:dyDescent="0.15">
      <c r="A939" s="15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 spans="1:30" ht="22.5" customHeight="1" x14ac:dyDescent="0.15">
      <c r="A940" s="15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 spans="1:30" ht="22.5" customHeight="1" x14ac:dyDescent="0.15">
      <c r="A941" s="15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 spans="1:30" ht="22.5" customHeight="1" x14ac:dyDescent="0.15">
      <c r="A942" s="15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 spans="1:30" ht="22.5" customHeight="1" x14ac:dyDescent="0.15">
      <c r="A943" s="15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 spans="1:30" ht="22.5" customHeight="1" x14ac:dyDescent="0.15">
      <c r="A944" s="15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 spans="1:30" ht="22.5" customHeight="1" x14ac:dyDescent="0.15">
      <c r="A945" s="15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 spans="1:30" ht="22.5" customHeight="1" x14ac:dyDescent="0.15">
      <c r="A946" s="15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 spans="1:30" ht="22.5" customHeight="1" x14ac:dyDescent="0.15">
      <c r="A947" s="15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 spans="1:30" ht="22.5" customHeight="1" x14ac:dyDescent="0.15">
      <c r="A948" s="15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 spans="1:30" ht="22.5" customHeight="1" x14ac:dyDescent="0.15">
      <c r="A949" s="15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 spans="1:30" ht="22.5" customHeight="1" x14ac:dyDescent="0.15">
      <c r="A950" s="15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 spans="1:30" ht="22.5" customHeight="1" x14ac:dyDescent="0.15">
      <c r="A951" s="15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 spans="1:30" ht="22.5" customHeight="1" x14ac:dyDescent="0.15">
      <c r="A952" s="15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 spans="1:30" ht="22.5" customHeight="1" x14ac:dyDescent="0.15">
      <c r="A953" s="15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 spans="1:30" ht="22.5" customHeight="1" x14ac:dyDescent="0.15">
      <c r="A954" s="15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 spans="1:30" ht="22.5" customHeight="1" x14ac:dyDescent="0.15">
      <c r="A955" s="15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 spans="1:30" ht="22.5" customHeight="1" x14ac:dyDescent="0.15">
      <c r="A956" s="15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 spans="1:30" ht="22.5" customHeight="1" x14ac:dyDescent="0.15">
      <c r="A957" s="15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 spans="1:30" ht="22.5" customHeight="1" x14ac:dyDescent="0.15">
      <c r="A958" s="15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 spans="1:30" ht="22.5" customHeight="1" x14ac:dyDescent="0.15">
      <c r="A959" s="15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 spans="1:30" ht="22.5" customHeight="1" x14ac:dyDescent="0.15">
      <c r="A960" s="15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 spans="1:30" ht="22.5" customHeight="1" x14ac:dyDescent="0.15">
      <c r="A961" s="15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 spans="1:30" ht="22.5" customHeight="1" x14ac:dyDescent="0.15">
      <c r="A962" s="15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 spans="1:30" ht="22.5" customHeight="1" x14ac:dyDescent="0.15">
      <c r="A963" s="15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 spans="1:30" ht="22.5" customHeight="1" x14ac:dyDescent="0.15">
      <c r="A964" s="15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 spans="1:30" ht="22.5" customHeight="1" x14ac:dyDescent="0.15">
      <c r="A965" s="15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 spans="1:30" ht="22.5" customHeight="1" x14ac:dyDescent="0.15">
      <c r="A966" s="15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  <row r="967" spans="1:30" ht="22.5" customHeight="1" x14ac:dyDescent="0.15">
      <c r="A967" s="15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</row>
    <row r="968" spans="1:30" ht="22.5" customHeight="1" x14ac:dyDescent="0.15">
      <c r="A968" s="15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</row>
    <row r="969" spans="1:30" ht="22.5" customHeight="1" x14ac:dyDescent="0.15">
      <c r="A969" s="15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</row>
    <row r="970" spans="1:30" ht="22.5" customHeight="1" x14ac:dyDescent="0.15">
      <c r="A970" s="15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</row>
    <row r="971" spans="1:30" ht="22.5" customHeight="1" x14ac:dyDescent="0.15">
      <c r="A971" s="15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</row>
    <row r="972" spans="1:30" ht="22.5" customHeight="1" x14ac:dyDescent="0.15">
      <c r="A972" s="15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</row>
    <row r="973" spans="1:30" ht="22.5" customHeight="1" x14ac:dyDescent="0.15">
      <c r="A973" s="15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</row>
    <row r="974" spans="1:30" ht="22.5" customHeight="1" x14ac:dyDescent="0.15">
      <c r="A974" s="15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</row>
    <row r="975" spans="1:30" ht="22.5" customHeight="1" x14ac:dyDescent="0.15">
      <c r="A975" s="15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</row>
    <row r="976" spans="1:30" ht="22.5" customHeight="1" x14ac:dyDescent="0.15">
      <c r="A976" s="15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</row>
    <row r="977" spans="1:30" ht="22.5" customHeight="1" x14ac:dyDescent="0.15">
      <c r="A977" s="15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</row>
    <row r="978" spans="1:30" ht="22.5" customHeight="1" x14ac:dyDescent="0.15">
      <c r="A978" s="15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</row>
    <row r="979" spans="1:30" ht="22.5" customHeight="1" x14ac:dyDescent="0.15">
      <c r="A979" s="15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</row>
    <row r="980" spans="1:30" ht="22.5" customHeight="1" x14ac:dyDescent="0.15">
      <c r="A980" s="15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</row>
    <row r="981" spans="1:30" ht="22.5" customHeight="1" x14ac:dyDescent="0.15">
      <c r="A981" s="15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</row>
    <row r="982" spans="1:30" ht="22.5" customHeight="1" x14ac:dyDescent="0.15">
      <c r="A982" s="15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</row>
    <row r="983" spans="1:30" ht="22.5" customHeight="1" x14ac:dyDescent="0.15">
      <c r="A983" s="15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</row>
    <row r="984" spans="1:30" ht="22.5" customHeight="1" x14ac:dyDescent="0.15">
      <c r="A984" s="15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</row>
    <row r="985" spans="1:30" ht="22.5" customHeight="1" x14ac:dyDescent="0.15">
      <c r="A985" s="15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</row>
    <row r="986" spans="1:30" ht="22.5" customHeight="1" x14ac:dyDescent="0.15">
      <c r="A986" s="15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</row>
    <row r="987" spans="1:30" ht="22.5" customHeight="1" x14ac:dyDescent="0.15">
      <c r="A987" s="15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</row>
    <row r="988" spans="1:30" ht="22.5" customHeight="1" x14ac:dyDescent="0.15">
      <c r="A988" s="15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</row>
    <row r="989" spans="1:30" ht="22.5" customHeight="1" x14ac:dyDescent="0.15">
      <c r="A989" s="15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</row>
    <row r="990" spans="1:30" ht="22.5" customHeight="1" x14ac:dyDescent="0.15">
      <c r="A990" s="15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</row>
    <row r="991" spans="1:30" ht="22.5" customHeight="1" x14ac:dyDescent="0.15">
      <c r="A991" s="15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</row>
    <row r="992" spans="1:30" ht="22.5" customHeight="1" x14ac:dyDescent="0.15">
      <c r="A992" s="15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</row>
    <row r="993" spans="1:30" ht="22.5" customHeight="1" x14ac:dyDescent="0.15">
      <c r="A993" s="15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</row>
    <row r="994" spans="1:30" ht="22.5" customHeight="1" x14ac:dyDescent="0.15">
      <c r="A994" s="15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</row>
    <row r="995" spans="1:30" ht="22.5" customHeight="1" x14ac:dyDescent="0.15">
      <c r="A995" s="15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</row>
    <row r="996" spans="1:30" ht="22.5" customHeight="1" x14ac:dyDescent="0.15">
      <c r="A996" s="15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</row>
    <row r="997" spans="1:30" ht="22.5" customHeight="1" x14ac:dyDescent="0.15">
      <c r="A997" s="15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</row>
    <row r="998" spans="1:30" ht="22.5" customHeight="1" x14ac:dyDescent="0.15">
      <c r="A998" s="15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</row>
    <row r="999" spans="1:30" ht="22.5" customHeight="1" x14ac:dyDescent="0.15">
      <c r="A999" s="15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</row>
    <row r="1000" spans="1:30" ht="22.5" customHeight="1" x14ac:dyDescent="0.15">
      <c r="A1000" s="15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</row>
    <row r="1001" spans="1:30" ht="22.5" customHeight="1" x14ac:dyDescent="0.15">
      <c r="A1001" s="15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</row>
    <row r="1002" spans="1:30" ht="22.5" customHeight="1" x14ac:dyDescent="0.15">
      <c r="A1002" s="15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</row>
    <row r="1003" spans="1:30" ht="22.5" customHeight="1" x14ac:dyDescent="0.15">
      <c r="A1003" s="15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</row>
    <row r="1004" spans="1:30" ht="22.5" customHeight="1" x14ac:dyDescent="0.15">
      <c r="A1004" s="15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</row>
    <row r="1005" spans="1:30" ht="22.5" customHeight="1" x14ac:dyDescent="0.15">
      <c r="A1005" s="15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</row>
    <row r="1006" spans="1:30" ht="22.5" customHeight="1" x14ac:dyDescent="0.15">
      <c r="A1006" s="15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</row>
    <row r="1007" spans="1:30" ht="22.5" customHeight="1" x14ac:dyDescent="0.15">
      <c r="A1007" s="15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</row>
    <row r="1008" spans="1:30" ht="22.5" customHeight="1" x14ac:dyDescent="0.15">
      <c r="A1008" s="15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</row>
    <row r="1009" spans="1:30" ht="22.5" customHeight="1" x14ac:dyDescent="0.15">
      <c r="A1009" s="15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</row>
    <row r="1010" spans="1:30" ht="22.5" customHeight="1" x14ac:dyDescent="0.15">
      <c r="A1010" s="15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</row>
    <row r="1011" spans="1:30" ht="22.5" customHeight="1" x14ac:dyDescent="0.15">
      <c r="A1011" s="15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</row>
    <row r="1012" spans="1:30" ht="22.5" customHeight="1" x14ac:dyDescent="0.15">
      <c r="A1012" s="15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</row>
    <row r="1013" spans="1:30" ht="22.5" customHeight="1" x14ac:dyDescent="0.15">
      <c r="A1013" s="15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</row>
    <row r="1014" spans="1:30" ht="22.5" customHeight="1" x14ac:dyDescent="0.15">
      <c r="A1014" s="15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</row>
    <row r="1015" spans="1:30" ht="22.5" customHeight="1" x14ac:dyDescent="0.15">
      <c r="A1015" s="15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</row>
    <row r="1016" spans="1:30" ht="22.5" customHeight="1" x14ac:dyDescent="0.15">
      <c r="A1016" s="15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</row>
  </sheetData>
  <mergeCells count="25">
    <mergeCell ref="K33:L33"/>
    <mergeCell ref="B35:B47"/>
    <mergeCell ref="C49:H49"/>
    <mergeCell ref="C28:J28"/>
    <mergeCell ref="C29:E29"/>
    <mergeCell ref="C30:E30"/>
    <mergeCell ref="G31:J31"/>
    <mergeCell ref="C33:C34"/>
    <mergeCell ref="D33:G33"/>
    <mergeCell ref="H33:J33"/>
    <mergeCell ref="C23:E23"/>
    <mergeCell ref="C24:E24"/>
    <mergeCell ref="C25:E25"/>
    <mergeCell ref="G25:J25"/>
    <mergeCell ref="G26:J26"/>
    <mergeCell ref="C20:J20"/>
    <mergeCell ref="C21:E21"/>
    <mergeCell ref="G21:J21"/>
    <mergeCell ref="C22:E22"/>
    <mergeCell ref="G22:J22"/>
    <mergeCell ref="C3:J3"/>
    <mergeCell ref="C5:E5"/>
    <mergeCell ref="C17:J17"/>
    <mergeCell ref="C18:E18"/>
    <mergeCell ref="G18:J18"/>
  </mergeCells>
  <conditionalFormatting sqref="D35:G47">
    <cfRule type="colorScale" priority="2">
      <colorScale>
        <cfvo type="min"/>
        <cfvo type="max"/>
        <color rgb="FFD9EAD3"/>
        <color rgb="FFF4CCCC"/>
      </colorScale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30"/>
  <sheetViews>
    <sheetView showGridLines="0" tabSelected="1" zoomScaleNormal="100" workbookViewId="0"/>
  </sheetViews>
  <sheetFormatPr baseColWidth="10" defaultColWidth="8.6640625" defaultRowHeight="13" x14ac:dyDescent="0.15"/>
  <cols>
    <col min="1" max="1" width="3" customWidth="1"/>
    <col min="2" max="2" width="6" customWidth="1"/>
    <col min="3" max="3" width="28" customWidth="1"/>
    <col min="4" max="4" width="72" customWidth="1"/>
  </cols>
  <sheetData>
    <row r="1" spans="2:4" ht="9.75" customHeight="1" x14ac:dyDescent="0.15"/>
    <row r="2" spans="2:4" ht="31.5" customHeight="1" x14ac:dyDescent="0.15">
      <c r="B2" s="1" t="s">
        <v>70</v>
      </c>
      <c r="C2" s="1"/>
      <c r="D2" s="1"/>
    </row>
    <row r="3" spans="2:4" ht="21.75" customHeight="1" x14ac:dyDescent="0.15">
      <c r="B3" s="146" t="s">
        <v>71</v>
      </c>
      <c r="C3" s="146"/>
      <c r="D3" s="146"/>
    </row>
    <row r="4" spans="2:4" ht="6" customHeight="1" x14ac:dyDescent="0.15"/>
    <row r="5" spans="2:4" ht="19.5" customHeight="1" x14ac:dyDescent="0.15">
      <c r="B5" s="139" t="s">
        <v>72</v>
      </c>
      <c r="C5" s="139" t="s">
        <v>73</v>
      </c>
      <c r="D5" s="139" t="s">
        <v>74</v>
      </c>
    </row>
    <row r="6" spans="2:4" ht="15.75" customHeight="1" x14ac:dyDescent="0.15">
      <c r="B6" s="147" t="s">
        <v>75</v>
      </c>
      <c r="C6" s="147"/>
      <c r="D6" s="147"/>
    </row>
    <row r="7" spans="2:4" ht="39.75" customHeight="1" x14ac:dyDescent="0.15">
      <c r="B7" s="140" t="s">
        <v>76</v>
      </c>
      <c r="C7" s="141" t="s">
        <v>77</v>
      </c>
      <c r="D7" s="142" t="s">
        <v>78</v>
      </c>
    </row>
    <row r="8" spans="2:4" ht="39.75" customHeight="1" x14ac:dyDescent="0.15">
      <c r="B8" s="143" t="s">
        <v>79</v>
      </c>
      <c r="C8" s="144" t="s">
        <v>80</v>
      </c>
      <c r="D8" s="145" t="s">
        <v>81</v>
      </c>
    </row>
    <row r="9" spans="2:4" ht="39.75" customHeight="1" x14ac:dyDescent="0.15">
      <c r="B9" s="140" t="s">
        <v>82</v>
      </c>
      <c r="C9" s="141" t="s">
        <v>83</v>
      </c>
      <c r="D9" s="142" t="s">
        <v>84</v>
      </c>
    </row>
    <row r="10" spans="2:4" ht="39.75" customHeight="1" x14ac:dyDescent="0.15">
      <c r="B10" s="143" t="s">
        <v>85</v>
      </c>
      <c r="C10" s="144" t="s">
        <v>86</v>
      </c>
      <c r="D10" s="145" t="s">
        <v>87</v>
      </c>
    </row>
    <row r="11" spans="2:4" ht="15.75" customHeight="1" x14ac:dyDescent="0.15">
      <c r="B11" s="147" t="s">
        <v>88</v>
      </c>
      <c r="C11" s="147"/>
      <c r="D11" s="147"/>
    </row>
    <row r="12" spans="2:4" ht="39.75" customHeight="1" x14ac:dyDescent="0.15">
      <c r="B12" s="140" t="s">
        <v>89</v>
      </c>
      <c r="C12" s="141" t="s">
        <v>90</v>
      </c>
      <c r="D12" s="142" t="s">
        <v>91</v>
      </c>
    </row>
    <row r="13" spans="2:4" ht="39.75" customHeight="1" x14ac:dyDescent="0.15">
      <c r="B13" s="143" t="s">
        <v>92</v>
      </c>
      <c r="C13" s="144" t="s">
        <v>93</v>
      </c>
      <c r="D13" s="145" t="s">
        <v>94</v>
      </c>
    </row>
    <row r="14" spans="2:4" ht="39.75" customHeight="1" x14ac:dyDescent="0.15">
      <c r="B14" s="140" t="s">
        <v>95</v>
      </c>
      <c r="C14" s="141" t="s">
        <v>96</v>
      </c>
      <c r="D14" s="142" t="s">
        <v>97</v>
      </c>
    </row>
    <row r="15" spans="2:4" ht="39.75" customHeight="1" x14ac:dyDescent="0.15">
      <c r="B15" s="143" t="s">
        <v>98</v>
      </c>
      <c r="C15" s="144" t="s">
        <v>99</v>
      </c>
      <c r="D15" s="145" t="s">
        <v>100</v>
      </c>
    </row>
    <row r="16" spans="2:4" ht="39.75" customHeight="1" x14ac:dyDescent="0.15">
      <c r="B16" s="140" t="s">
        <v>101</v>
      </c>
      <c r="C16" s="141" t="s">
        <v>102</v>
      </c>
      <c r="D16" s="142" t="s">
        <v>103</v>
      </c>
    </row>
    <row r="17" spans="2:4" ht="39.75" customHeight="1" x14ac:dyDescent="0.15">
      <c r="B17" s="143" t="s">
        <v>104</v>
      </c>
      <c r="C17" s="144" t="s">
        <v>105</v>
      </c>
      <c r="D17" s="145" t="s">
        <v>106</v>
      </c>
    </row>
    <row r="18" spans="2:4" ht="39.75" customHeight="1" x14ac:dyDescent="0.15">
      <c r="B18" s="140" t="s">
        <v>107</v>
      </c>
      <c r="C18" s="141" t="s">
        <v>108</v>
      </c>
      <c r="D18" s="142" t="s">
        <v>109</v>
      </c>
    </row>
    <row r="19" spans="2:4" ht="39.75" customHeight="1" x14ac:dyDescent="0.15">
      <c r="B19" s="143" t="s">
        <v>110</v>
      </c>
      <c r="C19" s="144" t="s">
        <v>111</v>
      </c>
      <c r="D19" s="145" t="s">
        <v>112</v>
      </c>
    </row>
    <row r="20" spans="2:4" ht="15.75" customHeight="1" x14ac:dyDescent="0.15">
      <c r="B20" s="147" t="s">
        <v>113</v>
      </c>
      <c r="C20" s="147"/>
      <c r="D20" s="147"/>
    </row>
    <row r="21" spans="2:4" ht="39.75" customHeight="1" x14ac:dyDescent="0.15">
      <c r="B21" s="140" t="s">
        <v>114</v>
      </c>
      <c r="C21" s="141" t="s">
        <v>115</v>
      </c>
      <c r="D21" s="142" t="s">
        <v>116</v>
      </c>
    </row>
    <row r="22" spans="2:4" ht="39.75" customHeight="1" x14ac:dyDescent="0.15">
      <c r="B22" s="143" t="s">
        <v>117</v>
      </c>
      <c r="C22" s="144" t="s">
        <v>118</v>
      </c>
      <c r="D22" s="145" t="s">
        <v>119</v>
      </c>
    </row>
    <row r="23" spans="2:4" ht="39.75" customHeight="1" x14ac:dyDescent="0.15">
      <c r="B23" s="140" t="s">
        <v>120</v>
      </c>
      <c r="C23" s="141" t="s">
        <v>121</v>
      </c>
      <c r="D23" s="142" t="s">
        <v>122</v>
      </c>
    </row>
    <row r="24" spans="2:4" ht="15.75" customHeight="1" x14ac:dyDescent="0.15">
      <c r="B24" s="147" t="s">
        <v>123</v>
      </c>
      <c r="C24" s="147"/>
      <c r="D24" s="147"/>
    </row>
    <row r="25" spans="2:4" ht="39.75" customHeight="1" x14ac:dyDescent="0.15">
      <c r="B25" s="143" t="s">
        <v>124</v>
      </c>
      <c r="C25" s="144" t="s">
        <v>125</v>
      </c>
      <c r="D25" s="145" t="s">
        <v>126</v>
      </c>
    </row>
    <row r="26" spans="2:4" ht="39.75" customHeight="1" x14ac:dyDescent="0.15">
      <c r="B26" s="140" t="s">
        <v>127</v>
      </c>
      <c r="C26" s="141" t="s">
        <v>128</v>
      </c>
      <c r="D26" s="142" t="s">
        <v>129</v>
      </c>
    </row>
    <row r="27" spans="2:4" ht="39.75" customHeight="1" x14ac:dyDescent="0.15">
      <c r="B27" s="143" t="s">
        <v>130</v>
      </c>
      <c r="C27" s="144" t="s">
        <v>131</v>
      </c>
      <c r="D27" s="145" t="s">
        <v>132</v>
      </c>
    </row>
    <row r="28" spans="2:4" ht="15.75" customHeight="1" x14ac:dyDescent="0.15">
      <c r="B28" s="147" t="s">
        <v>133</v>
      </c>
      <c r="C28" s="147"/>
      <c r="D28" s="147"/>
    </row>
    <row r="29" spans="2:4" ht="39.75" customHeight="1" x14ac:dyDescent="0.15">
      <c r="B29" s="140" t="s">
        <v>134</v>
      </c>
      <c r="C29" s="141" t="s">
        <v>135</v>
      </c>
      <c r="D29" s="142" t="s">
        <v>136</v>
      </c>
    </row>
    <row r="30" spans="2:4" ht="39.75" customHeight="1" x14ac:dyDescent="0.15">
      <c r="B30" s="143" t="s">
        <v>137</v>
      </c>
      <c r="C30" s="144" t="s">
        <v>138</v>
      </c>
      <c r="D30" s="145" t="s">
        <v>139</v>
      </c>
    </row>
  </sheetData>
  <mergeCells count="7">
    <mergeCell ref="B24:D24"/>
    <mergeCell ref="B28:D28"/>
    <mergeCell ref="B2:D2"/>
    <mergeCell ref="B3:D3"/>
    <mergeCell ref="B6:D6"/>
    <mergeCell ref="B11:D11"/>
    <mergeCell ref="B20:D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Transaction Hedging (Receivable</vt:lpstr>
      <vt:lpstr>Transaction Hedging (Payables)</vt:lpstr>
      <vt:lpstr>Notes &amp; Assumptions</vt:lpstr>
      <vt:lpstr>call_price</vt:lpstr>
      <vt:lpstr>call_strike</vt:lpstr>
      <vt:lpstr>contract_notional_value_payable</vt:lpstr>
      <vt:lpstr>current_spot_price_payable</vt:lpstr>
      <vt:lpstr>F0_in</vt:lpstr>
      <vt:lpstr>FC_AMT</vt:lpstr>
      <vt:lpstr>for_GBPUSD</vt:lpstr>
      <vt:lpstr>forward_price_payable</vt:lpstr>
      <vt:lpstr>future_spot_price_payable</vt:lpstr>
      <vt:lpstr>fv_put_outlay</vt:lpstr>
      <vt:lpstr>gbpusd_1y_scenario</vt:lpstr>
      <vt:lpstr>hedge_no</vt:lpstr>
      <vt:lpstr>K_CALL</vt:lpstr>
      <vt:lpstr>K_PUT</vt:lpstr>
      <vt:lpstr>named_range</vt:lpstr>
      <vt:lpstr>PREM_CALL</vt:lpstr>
      <vt:lpstr>PREM_PUT</vt:lpstr>
      <vt:lpstr>put_price</vt:lpstr>
      <vt:lpstr>R_FC</vt:lpstr>
      <vt:lpstr>R_USD</vt:lpstr>
      <vt:lpstr>rate_uk_1y_payable</vt:lpstr>
      <vt:lpstr>rate_us_1y_payable</vt:lpstr>
      <vt:lpstr>recievable</vt:lpstr>
      <vt:lpstr>S0_in</vt:lpstr>
      <vt:lpstr>T_DAYS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Meiting Shi</cp:lastModifiedBy>
  <cp:revision>4</cp:revision>
  <dcterms:created xsi:type="dcterms:W3CDTF">2026-04-18T00:41:54Z</dcterms:created>
  <dcterms:modified xsi:type="dcterms:W3CDTF">2026-04-18T09:34:21Z</dcterms:modified>
  <dc:language>en-US</dc:language>
</cp:coreProperties>
</file>